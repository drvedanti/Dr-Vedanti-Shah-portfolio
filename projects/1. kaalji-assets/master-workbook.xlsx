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958e1acd3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c377034a4e54b62"/>
    <x:sheet xmlns:r="http://schemas.openxmlformats.org/officeDocument/2006/relationships" name="Sources" sheetId="2" r:id="R0db284b220c34b67"/>
    <x:sheet xmlns:r="http://schemas.openxmlformats.org/officeDocument/2006/relationships" name="Derived Calculations" sheetId="3" r:id="R236feff47db349a5"/>
    <x:sheet xmlns:r="http://schemas.openxmlformats.org/officeDocument/2006/relationships" name="Evidence Register" sheetId="4" r:id="R36eeda035d93422e"/>
    <x:sheet xmlns:r="http://schemas.openxmlformats.org/officeDocument/2006/relationships" name="Care Capacity Model" sheetId="5" r:id="Rffa99444ec8c4ea8"/>
    <x:sheet xmlns:r="http://schemas.openxmlformats.org/officeDocument/2006/relationships" name="Evidence Compatibility" sheetId="6" r:id="Reaa479749f3342b8"/>
    <x:sheet xmlns:r="http://schemas.openxmlformats.org/officeDocument/2006/relationships" name="Hypotheses &amp; Tests" sheetId="7" r:id="R501ee7c62a4840bb"/>
    <x:sheet xmlns:r="http://schemas.openxmlformats.org/officeDocument/2006/relationships" name="Decision Gaps" sheetId="8" r:id="R5980fb1142c04433"/>
    <x:sheet xmlns:r="http://schemas.openxmlformats.org/officeDocument/2006/relationships" name="Product Landscape" sheetId="9" r:id="R9db2041df38d40c8"/>
    <x:sheet xmlns:r="http://schemas.openxmlformats.org/officeDocument/2006/relationships" name="Product Requirements" sheetId="10" r:id="R49401e72da664e06"/>
    <x:sheet xmlns:r="http://schemas.openxmlformats.org/officeDocument/2006/relationships" name="Diagnostic Rules" sheetId="11" r:id="R4ccc7d3462d2494a"/>
    <x:sheet xmlns:r="http://schemas.openxmlformats.org/officeDocument/2006/relationships" name="AI Responsibility Matrix" sheetId="12" r:id="R88871797079b4b2c"/>
    <x:sheet xmlns:r="http://schemas.openxmlformats.org/officeDocument/2006/relationships" name="Validation Framework" sheetId="13" r:id="Rc60843dd672f4696"/>
    <x:sheet xmlns:r="http://schemas.openxmlformats.org/officeDocument/2006/relationships" name="Decision Log" sheetId="14" r:id="R17b56abad3c642f6"/>
    <x:sheet xmlns:r="http://schemas.openxmlformats.org/officeDocument/2006/relationships" name="Methodology &amp; Provenance" sheetId="15" r:id="R82812c7786f647ec"/>
    <x:sheet xmlns:r="http://schemas.openxmlformats.org/officeDocument/2006/relationships" name="Microdata Analysis Plan" sheetId="16" r:id="R22274078f0e1479b"/>
    <x:sheet xmlns:r="http://schemas.openxmlformats.org/officeDocument/2006/relationships" name="Artifact Map" sheetId="17" r:id="R00f4cdf71e2d44ed"/>
    <x:sheet xmlns:r="http://schemas.openxmlformats.org/officeDocument/2006/relationships" name="Version Evolution" sheetId="18" r:id="Rce58127ddaae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4546A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e9a01ac1d4cde" /><Relationship Type="http://schemas.openxmlformats.org/officeDocument/2006/relationships/theme" Target="/xl/theme/theme1.xml" Id="R1a53ed92826248e5" /><Relationship Type="http://schemas.openxmlformats.org/officeDocument/2006/relationships/sharedStrings" Target="/xl/sharedStrings.xml" Id="R5ef134654ec84ca7" /><Relationship Type="http://schemas.openxmlformats.org/officeDocument/2006/relationships/worksheet" Target="/xl/worksheets/sheet1.xml" Id="R1c377034a4e54b62" /><Relationship Type="http://schemas.openxmlformats.org/officeDocument/2006/relationships/worksheet" Target="/xl/worksheets/sheet2.xml" Id="R0db284b220c34b67" /><Relationship Type="http://schemas.openxmlformats.org/officeDocument/2006/relationships/worksheet" Target="/xl/worksheets/sheet3.xml" Id="R236feff47db349a5" /><Relationship Type="http://schemas.openxmlformats.org/officeDocument/2006/relationships/worksheet" Target="/xl/worksheets/sheet4.xml" Id="R36eeda035d93422e" /><Relationship Type="http://schemas.openxmlformats.org/officeDocument/2006/relationships/worksheet" Target="/xl/worksheets/sheet5.xml" Id="Rffa99444ec8c4ea8" /><Relationship Type="http://schemas.openxmlformats.org/officeDocument/2006/relationships/worksheet" Target="/xl/worksheets/sheet6.xml" Id="Reaa479749f3342b8" /><Relationship Type="http://schemas.openxmlformats.org/officeDocument/2006/relationships/worksheet" Target="/xl/worksheets/sheet7.xml" Id="R501ee7c62a4840bb" /><Relationship Type="http://schemas.openxmlformats.org/officeDocument/2006/relationships/worksheet" Target="/xl/worksheets/sheet8.xml" Id="R5980fb1142c04433" /><Relationship Type="http://schemas.openxmlformats.org/officeDocument/2006/relationships/worksheet" Target="/xl/worksheets/sheet9.xml" Id="R9db2041df38d40c8" /><Relationship Type="http://schemas.openxmlformats.org/officeDocument/2006/relationships/worksheet" Target="/xl/worksheets/sheet10.xml" Id="R49401e72da664e06" /><Relationship Type="http://schemas.openxmlformats.org/officeDocument/2006/relationships/worksheet" Target="/xl/worksheets/sheet11.xml" Id="R4ccc7d3462d2494a" /><Relationship Type="http://schemas.openxmlformats.org/officeDocument/2006/relationships/worksheet" Target="/xl/worksheets/sheet12.xml" Id="R88871797079b4b2c" /><Relationship Type="http://schemas.openxmlformats.org/officeDocument/2006/relationships/worksheet" Target="/xl/worksheets/sheet13.xml" Id="Rc60843dd672f4696" /><Relationship Type="http://schemas.openxmlformats.org/officeDocument/2006/relationships/worksheet" Target="/xl/worksheets/sheet14.xml" Id="R17b56abad3c642f6" /><Relationship Type="http://schemas.openxmlformats.org/officeDocument/2006/relationships/worksheet" Target="/xl/worksheets/sheet15.xml" Id="R82812c7786f647ec" /><Relationship Type="http://schemas.openxmlformats.org/officeDocument/2006/relationships/worksheet" Target="/xl/worksheets/sheet16.xml" Id="R22274078f0e1479b" /><Relationship Type="http://schemas.openxmlformats.org/officeDocument/2006/relationships/worksheet" Target="/xl/worksheets/sheet17.xml" Id="R00f4cdf71e2d44ed" /><Relationship Type="http://schemas.openxmlformats.org/officeDocument/2006/relationships/worksheet" Target="/xl/worksheets/sheet18.xml" Id="Rce58127ddaae4446" /></Relationships>
</file>

<file path=xl/tables/table1.xml><?xml version="1.0" encoding="utf-8"?>
<x:table xmlns:x="http://schemas.openxmlformats.org/spreadsheetml/2006/main" id="1" name="SourcesTable" displayName="SourcesTable" ref="A4:H18" headerRowCount="1" totalsRowCount="0" totalsRowShown="0">
  <x:tableColumns count="8">
    <x:tableColumn id="1" name="Source ID"/>
    <x:tableColumn id="2" name="Organisation"/>
    <x:tableColumn id="3" name="Source / Title"/>
    <x:tableColumn id="4" name="Published"/>
    <x:tableColumn id="5" name="URL"/>
    <x:tableColumn id="6" name="Used for"/>
    <x:tableColumn id="7" name="Source type"/>
    <x:tableColumn id="8" name="Portfolio 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RegisterTable" displayName="EvidenceRegisterTable" ref="A4:P26" headerRowCount="1" totalsRowCount="0" totalsRowShown="0">
  <x:tableColumns count="16">
    <x:tableColumn id="1" name="ID"/>
    <x:tableColumn id="2" name="Evidence / Claim"/>
    <x:tableColumn id="3" name="Evidence Class"/>
    <x:tableColumn id="4" name="Source ID"/>
    <x:tableColumn id="5" name="Source Date"/>
    <x:tableColumn id="6" name="Reporting Period"/>
    <x:tableColumn id="7" name="Population / Denominator"/>
    <x:tableColumn id="8" name="Geography"/>
    <x:tableColumn id="9" name="Value"/>
    <x:tableColumn id="10" name="Unit / Finding"/>
    <x:tableColumn id="11" name="Decision Relevance"/>
    <x:tableColumn id="12" name="Limitation"/>
    <x:tableColumn id="13" name="Source Location"/>
    <x:tableColumn id="14" name="URL"/>
    <x:tableColumn id="15" name="Last Checked"/>
    <x:tableColumn id="16" name="Ver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reCapacityModelTable" displayName="CareCapacityModelTable" ref="A4:G15" headerRowCount="1" totalsRowCount="0" totalsRowShown="0">
  <x:tableColumns count="7">
    <x:tableColumn id="1" name="Stage"/>
    <x:tableColumn id="2" name="Working meaning"/>
    <x:tableColumn id="3" name="Current observable evidence"/>
    <x:tableColumn id="4" name="What the evidence can support"/>
    <x:tableColumn id="5" name="What it cannot establish"/>
    <x:tableColumn id="6" name="Key next evidence"/>
    <x:tableColumn id="7" name="Portfolio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atibilityTable" displayName="CompatibilityTable" ref="A4:M10" headerRowCount="1" totalsRowCount="0" totalsRowShown="0">
  <x:tableColumns count="13">
    <x:tableColumn id="1" name="ID"/>
    <x:tableColumn id="2" name="Proposed comparison"/>
    <x:tableColumn id="3" name="Source A"/>
    <x:tableColumn id="4" name="Source B"/>
    <x:tableColumn id="5" name="Same geography?"/>
    <x:tableColumn id="6" name="Aligned period?"/>
    <x:tableColumn id="7" name="Comparable population?"/>
    <x:tableColumn id="8" name="Comparable definition?"/>
    <x:tableColumn id="9" name="Stock / flow compatible?"/>
    <x:tableColumn id="10" name="Availability of both measures"/>
    <x:tableColumn id="11" name="Compatibility result"/>
    <x:tableColumn id="12" name="Reason"/>
    <x:tableColumn id="13" name="Product 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ypothesesTable" displayName="HypothesesTable" ref="A4:G10" headerRowCount="1" totalsRowCount="0" totalsRowShown="0">
  <x:tableColumns count="7">
    <x:tableColumn id="1" name="ID"/>
    <x:tableColumn id="2" name="Diagnostic hypothesis"/>
    <x:tableColumn id="3" name="Question"/>
    <x:tableColumn id="4" name="Evidence needed to test"/>
    <x:tableColumn id="5" name="Current evidence"/>
    <x:tableColumn id="6" name="Interpretation boundary"/>
    <x:tableColumn id="7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andscapeTable" displayName="LandscapeTable" ref="A4:H9" headerRowCount="1" totalsRowCount="0" totalsRowShown="0">
  <x:tableColumns count="8">
    <x:tableColumn id="1" name="Product / system"/>
    <x:tableColumn id="2" name="Type"/>
    <x:tableColumn id="3" name="What it does (source-supported)"/>
    <x:tableColumn id="4" name="Primary user / role"/>
    <x:tableColumn id="5" name="What it does NOT prove for this project"/>
    <x:tableColumn id="6" name="Source"/>
    <x:tableColumn id="7" name="URL"/>
    <x:tableColumn id="8" name="Portfolio implica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agnosticRulesTable" displayName="DiagnosticRulesTable" ref="A4:H10" headerRowCount="1" totalsRowCount="0" totalsRowShown="0">
  <x:tableColumns count="8">
    <x:tableColumn id="1" name="Rule"/>
    <x:tableColumn id="2" name="Precondition / observed pattern"/>
    <x:tableColumn id="3" name="Possible signal"/>
    <x:tableColumn id="4" name="Evidence strength"/>
    <x:tableColumn id="5" name="Evidence class"/>
    <x:tableColumn id="6" name="What it does NOT establish"/>
    <x:tableColumn id="7" name="Next evidence"/>
    <x:tableColumn id="8" name="System behaviou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IResponsibilityTable" displayName="AIResponsibilityTable" ref="A4:H13" headerRowCount="1" totalsRowCount="0" totalsRowShown="0">
  <x:tableColumns count="8">
    <x:tableColumn id="1" name="Task"/>
    <x:tableColumn id="2" name="AI role"/>
    <x:tableColumn id="3" name="Deterministic / data-system role"/>
    <x:tableColumn id="4" name="Human role"/>
    <x:tableColumn id="5" name="Allowed?"/>
    <x:tableColumn id="6" name="Primary failure mode"/>
    <x:tableColumn id="7" name="Required guardrail"/>
    <x:tableColumn id="8" name="Relevant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ValidationTable" displayName="ValidationTable" ref="A4:H10" headerRowCount="1" totalsRowCount="0" totalsRowShown="0">
  <x:tableColumns count="8">
    <x:tableColumn id="1" name="Layer"/>
    <x:tableColumn id="2" name="Validation hypothesis"/>
    <x:tableColumn id="3" name="Test / experiment"/>
    <x:tableColumn id="4" name="What to observe"/>
    <x:tableColumn id="5" name="Evidence of value"/>
    <x:tableColumn id="6" name="Failure / kill signal"/>
    <x:tableColumn id="7" name="Current status"/>
    <x:tableColumn id="8" name="Artifact / owne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ecisionLogTable" displayName="DecisionLogTable" ref="A4:G15" headerRowCount="1" totalsRowCount="0" totalsRowShown="0">
  <x:tableColumns count="7">
    <x:tableColumn id="1" name="ID"/>
    <x:tableColumn id="2" name="Initial assumption / question"/>
    <x:tableColumn id="3" name="Evidence or constraint encountered"/>
    <x:tableColumn id="4" name="Decision / change in thinking"/>
    <x:tableColumn id="5" name="Product consequence"/>
    <x:tableColumn id="6" name="Status"/>
    <x:tableColumn id="7" name="Narrative link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MethodologyTable" displayName="MethodologyTable" ref="A4:F14" headerRowCount="1" totalsRowCount="0" totalsRowShown="0">
  <x:tableColumns count="6">
    <x:tableColumn id="1" name="Layer"/>
    <x:tableColumn id="2" name="Method / rule"/>
    <x:tableColumn id="3" name="Evidence state"/>
    <x:tableColumn id="4" name="What is allowed"/>
    <x:tableColumn id="5" name="What is not allowed"/>
    <x:tableColumn id="6" name="Primary artifac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rtifactMapTable" displayName="ArtifactMapTable" ref="A4:G15" headerRowCount="1" totalsRowCount="0" totalsRowShown="0">
  <x:tableColumns count="7">
    <x:tableColumn id="1" name="Narrative section"/>
    <x:tableColumn id="2" name="Claim / decision"/>
    <x:tableColumn id="3" name="Evidence class"/>
    <x:tableColumn id="4" name="Primary evidence / method"/>
    <x:tableColumn id="5" name="Proof artifact"/>
    <x:tableColumn id="6" name="Portfolio treatment"/>
    <x:tableColumn id="7" name="Proof 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VersionEvolutionTable" displayName="VersionEvolutionTable" ref="A4:E15" headerRowCount="1" totalsRowCount="0" totalsRowShown="0">
  <x:tableColumns count="5">
    <x:tableColumn id="1" name="Version / artifact"/>
    <x:tableColumn id="2" name="Main analytical move"/>
    <x:tableColumn id="3" name="What changed next"/>
    <x:tableColumn id="4" name="Portfolio use"/>
    <x:tableColumn id="5" name="Public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5918b793d449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c632442b247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19faefdd54844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19330af2ba948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ea560d07db24a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7ca713a51666456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ca2c2cb76a534b1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ac80bd7b14424b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97d8df69715f477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ae658d7e3cf9427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c6b8c8c815bd4ff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13e5c98cb23444a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dfac07050c7b413d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4" max="4" width="24" hidden="0" customWidth="1"/>
    <x:col min="5" max="5" width="14" hidden="0" customWidth="1"/>
    <x:col min="7" max="7" width="22" hidden="0" customWidth="1"/>
    <x:col min="8" max="8" width="50" hidden="0" customWidth="1"/>
  </x:cols>
  <x:sheetData>
    <x:row r="1" ht="30" customHeight="1">
      <x:c r="A1" s="28" t="str">
        <x:v>India 2050 — The Future of Care | MASTER WORKBOOK v2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29" t="str">
        <x:v>Authoritative evidence, analysis, product, AI and validation backbone for the KAALJI portfolio case study. Updated 26 Sep 2026.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Project status</x:v>
      </x:c>
      <x:c r="B4" s="31" t="str">
        <x:v>Proposed product concept/prototype. Research-backed, not commercially or user validated.</x:v>
      </x:c>
      <x:c r="C4" s="30"/>
      <x:c r="D4" s="31" t="str">
        <x:v>Proof layer KPI</x:v>
      </x:c>
      <x:c r="E4" s="31" t="str">
        <x:v>Value</x:v>
      </x:c>
      <x:c r="F4" s="30"/>
      <x:c r="G4" s="31" t="str">
        <x:v>Integrity rule</x:v>
      </x:c>
      <x:c r="H4" s="31" t="str">
        <x:v>Portfolio implication</x:v>
      </x:c>
    </x:row>
    <x:row r="5">
      <x:c r="A5" s="30" t="str">
        <x:v>Core insight</x:v>
      </x:c>
      <x:c r="B5" s="30" t="str">
        <x:v>Training caregivers is not the same as creating usable care capacity.</x:v>
      </x:c>
      <x:c r="C5" s="30"/>
      <x:c r="D5" s="30" t="str">
        <x:v>Evidence-register items</x:v>
      </x:c>
      <x:c r="E5" s="30" t="n">
        <x:f>COUNTA('Evidence Register'!A5:A40)</x:f>
        <x:v>22</x:v>
      </x:c>
      <x:c r="F5" s="30"/>
      <x:c r="G5" s="30" t="str">
        <x:v>REAL DATA</x:v>
      </x:c>
      <x:c r="H5" s="30" t="str">
        <x:v>Directly reported by an identified source; retain definition, period, population and geography.</x:v>
      </x:c>
    </x:row>
    <x:row r="6">
      <x:c r="A6" s="30" t="str">
        <x:v>Analytical question</x:v>
      </x:c>
      <x:c r="B6" s="30" t="str">
        <x:v>How does potential care capacity convert into usable, delivered care, and what evidence can distinguish competing explanations?</x:v>
      </x:c>
      <x:c r="C6" s="30"/>
      <x:c r="D6" s="30" t="str">
        <x:v>Diagnostic hypotheses</x:v>
      </x:c>
      <x:c r="E6" s="30" t="n">
        <x:f>COUNTA('Hypotheses &amp; Tests'!A5:A20)</x:f>
        <x:v>6</x:v>
      </x:c>
      <x:c r="F6" s="30"/>
      <x:c r="G6" s="30" t="str">
        <x:v>DERIVED</x:v>
      </x:c>
      <x:c r="H6" s="30" t="str">
        <x:v>Calculated from sourced inputs; formula/method must be visible.</x:v>
      </x:c>
    </x:row>
    <x:row r="7">
      <x:c r="A7" s="30" t="str">
        <x:v>Product</x:v>
      </x:c>
      <x:c r="B7" s="30" t="str">
        <x:v>KAALJI — From care need to care delivered.</x:v>
      </x:c>
      <x:c r="C7" s="30"/>
      <x:c r="D7" s="30" t="str">
        <x:v>Decision-log entries</x:v>
      </x:c>
      <x:c r="E7" s="30" t="n">
        <x:f>COUNTA('Decision Log'!A5:A30)</x:f>
        <x:v>11</x:v>
      </x:c>
      <x:c r="F7" s="30"/>
      <x:c r="G7" s="30" t="str">
        <x:v>HYPOTHESIS</x:v>
      </x:c>
      <x:c r="H7" s="30" t="str">
        <x:v>Plausible explanation to investigate; never displayed as a finding.</x:v>
      </x:c>
    </x:row>
    <x:row r="8">
      <x:c r="A8" s="30" t="str">
        <x:v>Product role</x:v>
      </x:c>
      <x:c r="B8" s="30" t="str">
        <x:v>Care-capacity intelligence and decision support; not a caregiver marketplace or autonomous healthcare decision tool.</x:v>
      </x:c>
      <x:c r="C8" s="30"/>
      <x:c r="D8" s="30" t="str">
        <x:v>Primary sources</x:v>
      </x:c>
      <x:c r="E8" s="30" t="n">
        <x:f>COUNTA(Sources!A5:A30)</x:f>
        <x:v>14</x:v>
      </x:c>
      <x:c r="F8" s="30"/>
      <x:c r="G8" s="30" t="str">
        <x:v>DATA GAP</x:v>
      </x:c>
      <x:c r="H8" s="30" t="str">
        <x:v>Information needed for diagnosis but missing or insufficient.</x:v>
      </x:c>
    </x:row>
    <x:row r="9">
      <x:c r="A9" s="30" t="str">
        <x:v>Evidence taxonomy</x:v>
      </x:c>
      <x:c r="B9" s="30" t="str">
        <x:v>REAL DATA · DERIVED · HYPOTHESIS · DATA GAP</x:v>
      </x:c>
      <x:c r="C9" s="30"/>
      <x:c r="D9" s="30"/>
      <x:c r="E9" s="30"/>
      <x:c r="F9" s="30"/>
      <x:c r="G9" s="30" t="str">
        <x:v>Compatibility gate</x:v>
      </x:c>
      <x:c r="H9" s="30" t="str">
        <x:v>Two legitimate numbers are not automatically comparable.</x:v>
      </x:c>
    </x:row>
    <x:row r="10">
      <x:c r="A10" s="30" t="str">
        <x:v>Canonical workflow</x:v>
      </x:c>
      <x:c r="B10" s="30" t="str">
        <x:v>Question → Evidence → Compatibility → Signal → Evidence Strength → Known / Unknown → Next Investigation</x:v>
      </x:c>
      <x:c r="C10" s="30"/>
      <x:c r="D10" s="30"/>
      <x:c r="E10" s="30"/>
      <x:c r="F10" s="30"/>
      <x:c r="G10" s="30" t="str">
        <x:v>AI boundary</x:v>
      </x:c>
      <x:c r="H10" s="30" t="str">
        <x:v>AI helps with language, synthesis and exploration; deterministic logic handles reproducible rules/calculations; humans retain consequential judgment.</x:v>
      </x:c>
    </x:row>
    <x:row r="11">
      <x:c r="A11" s="30" t="str">
        <x:v>Validation state</x:v>
      </x:c>
      <x:c r="B11" s="30" t="str">
        <x:v>No real-user validation, workforce-planning impact or national conversion rate has been established.</x:v>
      </x:c>
      <x:c r="C11" s="30"/>
      <x:c r="D11" s="30"/>
      <x:c r="E11" s="30"/>
      <x:c r="F11" s="30"/>
      <x:c r="G11" s="30"/>
      <x:c r="H11" s="3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45" hidden="0" customWidth="1"/>
    <x:col min="4" max="4" width="18" hidden="0" customWidth="1"/>
    <x:col min="5" max="5" width="55" hidden="0" customWidth="1"/>
    <x:col min="6" max="6" width="45" hidden="0" customWidth="1"/>
    <x:col min="7" max="7" width="24" hidden="0" customWidth="1"/>
    <x:col min="8" max="8" width="20" hidden="0" customWidth="1"/>
  </x:cols>
  <x:sheetData>
    <x:row r="1" ht="30" customHeight="1">
      <x:c r="A1" s="28" t="str">
        <x:v>Primary &amp; Supporting Sources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29" t="str">
        <x:v>Source-of-truth list for evidence used in the public case study and product logic. URLs are plain text for auditability.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Source ID</x:v>
      </x:c>
      <x:c r="B4" s="31" t="str">
        <x:v>Organisation</x:v>
      </x:c>
      <x:c r="C4" s="31" t="str">
        <x:v>Source / Title</x:v>
      </x:c>
      <x:c r="D4" s="31" t="str">
        <x:v>Published</x:v>
      </x:c>
      <x:c r="E4" s="31" t="str">
        <x:v>URL</x:v>
      </x:c>
      <x:c r="F4" s="31" t="str">
        <x:v>Used for</x:v>
      </x:c>
      <x:c r="G4" s="31" t="str">
        <x:v>Source type</x:v>
      </x:c>
      <x:c r="H4" s="31" t="str">
        <x:v>Portfolio role</x:v>
      </x:c>
    </x:row>
    <x:row r="5">
      <x:c r="A5" s="30" t="str">
        <x:v>S001</x:v>
      </x:c>
      <x:c r="B5" s="30" t="str">
        <x:v>NITI Aayog</x:v>
      </x:c>
      <x:c r="C5" s="30" t="str">
        <x:v>Reimagining Care: Strategies for Empowering Caregivers in Viksit Bharat@2047</x:v>
      </x:c>
      <x:c r="D5" s="30" t="str">
        <x:v>2026-08-05</x:v>
      </x:c>
      <x:c r="E5" s="30" t="str">
        <x:v>https://www.niti.gov.in/sites/default/files/2026-08/Reimagining-Care-Strategies-for-Empowering-Caregivers-in-Viksit-Bharat-2047.pdf</x:v>
      </x:c>
      <x:c r="F5" s="30" t="str">
        <x:v>Demographic context; caregiver ecosystem; workforce/policy context</x:v>
      </x:c>
      <x:c r="G5" s="30" t="str">
        <x:v>Official report</x:v>
      </x:c>
      <x:c r="H5" s="30" t="str">
        <x:v>Primary</x:v>
      </x:c>
    </x:row>
    <x:row r="6">
      <x:c r="A6" s="30" t="str">
        <x:v>S002</x:v>
      </x:c>
      <x:c r="B6" s="30" t="str">
        <x:v>IIPS</x:v>
      </x:c>
      <x:c r="C6" s="30" t="str">
        <x:v>Longitudinal Ageing Study in India (LASI) Wave 1 — India Report 2020</x:v>
      </x:c>
      <x:c r="D6" s="30" t="str">
        <x:v>2020</x:v>
      </x:c>
      <x:c r="E6" s="30" t="str">
        <x:v>https://www.iipsindia.ac.in/sites/default/files/LASI_India_Report_2020_compressed.pdf</x:v>
      </x:c>
      <x:c r="F6" s="30" t="str">
        <x:v>ADL/IADL; living arrangements; historical care context</x:v>
      </x:c>
      <x:c r="G6" s="30" t="str">
        <x:v>Official survey report</x:v>
      </x:c>
      <x:c r="H6" s="30" t="str">
        <x:v>Primary</x:v>
      </x:c>
    </x:row>
    <x:row r="7">
      <x:c r="A7" s="30" t="str">
        <x:v>S003</x:v>
      </x:c>
      <x:c r="B7" s="30" t="str">
        <x:v>IIPS</x:v>
      </x:c>
      <x:c r="C7" s="30" t="str">
        <x:v>LASI Key Findings / EPW summary</x:v>
      </x:c>
      <x:c r="D7" s="30" t="str">
        <x:v>2022</x:v>
      </x:c>
      <x:c r="E7" s="30" t="str">
        <x:v>https://www.iipsindia.ac.in/sites/default/files/other_files/LASI_KeyFindings_EPW2022.pdf</x:v>
      </x:c>
      <x:c r="F7" s="30" t="str">
        <x:v>National/state living arrangements summary</x:v>
      </x:c>
      <x:c r="G7" s="30" t="str">
        <x:v>Institutional summary</x:v>
      </x:c>
      <x:c r="H7" s="30" t="str">
        <x:v>Primary/supporting</x:v>
      </x:c>
    </x:row>
    <x:row r="8">
      <x:c r="A8" s="30" t="str">
        <x:v>S004</x:v>
      </x:c>
      <x:c r="B8" s="30" t="str">
        <x:v>Press Information Bureau</x:v>
      </x:c>
      <x:c r="C8" s="30" t="str">
        <x:v>Parliament Question: PM-SPECIAL Scheme</x:v>
      </x:c>
      <x:c r="D8" s="30" t="str">
        <x:v>2025-03-18</x:v>
      </x:c>
      <x:c r="E8" s="30" t="str">
        <x:v>https://www.pib.gov.in/PressReleasePage.aspx?PRID=2112161&amp;lang=2&amp;reg=48</x:v>
      </x:c>
      <x:c r="F8" s="30" t="str">
        <x:v>FY2023-24 PM-SPECIAL trainees and state distribution</x:v>
      </x:c>
      <x:c r="G8" s="30" t="str">
        <x:v>Official release</x:v>
      </x:c>
      <x:c r="H8" s="30" t="str">
        <x:v>Primary</x:v>
      </x:c>
    </x:row>
    <x:row r="9">
      <x:c r="A9" s="30" t="str">
        <x:v>S005</x:v>
      </x:c>
      <x:c r="B9" s="30" t="str">
        <x:v>Press Information Bureau / Ministry of Finance</x:v>
      </x:c>
      <x:c r="C9" s="30" t="str">
        <x:v>Union Budget 2026-27 healthcare/care ecosystem announcement</x:v>
      </x:c>
      <x:c r="D9" s="30" t="str">
        <x:v>2026-02-01</x:v>
      </x:c>
      <x:c r="E9" s="30" t="str">
        <x:v>https://www.pib.gov.in/PressReleasePage.aspx?PRID=2221443&amp;lang=1&amp;reg=3</x:v>
      </x:c>
      <x:c r="F9" s="30" t="str">
        <x:v>1.5 lakh caregiver training announcement; wording 'coming years'</x:v>
      </x:c>
      <x:c r="G9" s="30" t="str">
        <x:v>Official release</x:v>
      </x:c>
      <x:c r="H9" s="30" t="str">
        <x:v>Primary</x:v>
      </x:c>
    </x:row>
    <x:row r="10">
      <x:c r="A10" s="30" t="str">
        <x:v>S006</x:v>
      </x:c>
      <x:c r="B10" s="30" t="str">
        <x:v>Press Information Bureau / MSDE</x:v>
      </x:c>
      <x:c r="C10" s="30" t="str">
        <x:v>Post-Budget webinar: Skilling 1.5 lakh multiskilled caregivers</x:v>
      </x:c>
      <x:c r="D10" s="30" t="str">
        <x:v>2026-03-08</x:v>
      </x:c>
      <x:c r="E10" s="30" t="str">
        <x:v>https://www.pib.gov.in/PressReleasePage.aspx?PRID=2236531&amp;lang=2&amp;reg=3</x:v>
      </x:c>
      <x:c r="F10" s="30" t="str">
        <x:v>Budget speech wording: 1.5 lakh caregivers in the coming year</x:v>
      </x:c>
      <x:c r="G10" s="30" t="str">
        <x:v>Official release</x:v>
      </x:c>
      <x:c r="H10" s="30" t="str">
        <x:v>Primary</x:v>
      </x:c>
    </x:row>
    <x:row r="11">
      <x:c r="A11" s="30" t="str">
        <x:v>S007</x:v>
      </x:c>
      <x:c r="B11" s="30" t="str">
        <x:v>Press Information Bureau</x:v>
      </x:c>
      <x:c r="C11" s="30" t="str">
        <x:v>Prioritising Healthcare for a Viksit Bharat 2047 — Budget 2026-27 Series</x:v>
      </x:c>
      <x:c r="D11" s="30" t="str">
        <x:v>2026-03-30</x:v>
      </x:c>
      <x:c r="E11" s="30" t="str">
        <x:v>https://www.pib.gov.in/PressNoteDetails.aspx?ModuleId=3&amp;NoteId=157968&amp;lang=1&amp;reg=6</x:v>
      </x:c>
      <x:c r="F11" s="30" t="str">
        <x:v>Backgrounder repeats 1.5 lakh target but describes horizon as next five years</x:v>
      </x:c>
      <x:c r="G11" s="30" t="str">
        <x:v>Official backgrounder</x:v>
      </x:c>
      <x:c r="H11" s="30" t="str">
        <x:v>Supporting / conflict check</x:v>
      </x:c>
    </x:row>
    <x:row r="12">
      <x:c r="A12" s="30" t="str">
        <x:v>S008</x:v>
      </x:c>
      <x:c r="B12" s="30" t="str">
        <x:v>Press Information Bureau / Ministry of Social Justice &amp; Empowerment</x:v>
      </x:c>
      <x:c r="C12" s="30" t="str">
        <x:v>Launch of JEEVAN App and SHATAYU Geriatric Caregiver Dashboard</x:v>
      </x:c>
      <x:c r="D12" s="30" t="str">
        <x:v>2026-05-22</x:v>
      </x:c>
      <x:c r="E12" s="30" t="str">
        <x:v>https://www.pib.gov.in/PressReleasePage.aspx?PRID=2264053&amp;lang=2&amp;reg=48</x:v>
      </x:c>
      <x:c r="F12" s="30" t="str">
        <x:v>SHATAYU district/state caregiver availability information; JEEVAN support functions</x:v>
      </x:c>
      <x:c r="G12" s="30" t="str">
        <x:v>Official release</x:v>
      </x:c>
      <x:c r="H12" s="30" t="str">
        <x:v>Primary</x:v>
      </x:c>
    </x:row>
    <x:row r="13">
      <x:c r="A13" s="30" t="str">
        <x:v>S009</x:v>
      </x:c>
      <x:c r="B13" s="30" t="str">
        <x:v>Press Information Bureau / MSDE</x:v>
      </x:c>
      <x:c r="C13" s="30" t="str">
        <x:v>World Youth Skills Day 2026 — Training Programme for Multi-Skilled Caregivers</x:v>
      </x:c>
      <x:c r="D13" s="30" t="str">
        <x:v>2026-07-15</x:v>
      </x:c>
      <x:c r="E13" s="30" t="str">
        <x:v>https://www.pib.gov.in/PressReleasePage.aspx?PRID=2285084&amp;lang=1&amp;reg=3</x:v>
      </x:c>
      <x:c r="F13" s="30" t="str">
        <x:v>1.3 lakh caregivers through MSDE ecosystem; skilling-to-employment emphasis</x:v>
      </x:c>
      <x:c r="G13" s="30" t="str">
        <x:v>Official release</x:v>
      </x:c>
      <x:c r="H13" s="30" t="str">
        <x:v>Primary</x:v>
      </x:c>
    </x:row>
    <x:row r="14">
      <x:c r="A14" s="30" t="str">
        <x:v>S010</x:v>
      </x:c>
      <x:c r="B14" s="30" t="str">
        <x:v>Press Information Bureau / MSDE</x:v>
      </x:c>
      <x:c r="C14" s="30" t="str">
        <x:v>Skill Development for Healthcare Professionals</x:v>
      </x:c>
      <x:c r="D14" s="30" t="str">
        <x:v>2026-08-03</x:v>
      </x:c>
      <x:c r="E14" s="30" t="str">
        <x:v>https://www.pib.gov.in/PressReleasePage.aspx?PRID=2293795&amp;lang=1&amp;reg=48</x:v>
      </x:c>
      <x:c r="F14" s="30" t="str">
        <x:v>Confirms 1.5 lakh programme scale and 1.3 lakh through MSDE ecosystem</x:v>
      </x:c>
      <x:c r="G14" s="30" t="str">
        <x:v>Official parliamentary release</x:v>
      </x:c>
      <x:c r="H14" s="30" t="str">
        <x:v>Primary</x:v>
      </x:c>
    </x:row>
    <x:row r="15">
      <x:c r="A15" s="30" t="str">
        <x:v>S011</x:v>
      </x:c>
      <x:c r="B15" s="30" t="str">
        <x:v>ICMR</x:v>
      </x:c>
      <x:c r="C15" s="30" t="str">
        <x:v>Ethical Guidelines for Application of Artificial Intelligence in Biomedical Research and Healthcare</x:v>
      </x:c>
      <x:c r="D15" s="30" t="str">
        <x:v>2023</x:v>
      </x:c>
      <x:c r="E15" s="30" t="str">
        <x:v>https://www.icmr.gov.in/ethical-guidelines-for-application-of-artificial-intelligence-in-biomedical-research-and-healthcare</x:v>
      </x:c>
      <x:c r="F15" s="30" t="str">
        <x:v>AI transparency, accountability, oversight and governance context</x:v>
      </x:c>
      <x:c r="G15" s="30" t="str">
        <x:v>Official guideline</x:v>
      </x:c>
      <x:c r="H15" s="30" t="str">
        <x:v>Governance</x:v>
      </x:c>
    </x:row>
    <x:row r="16">
      <x:c r="A16" s="30" t="str">
        <x:v>S012</x:v>
      </x:c>
      <x:c r="B16" s="30" t="str">
        <x:v>World Health Organization</x:v>
      </x:c>
      <x:c r="C16" s="30" t="str">
        <x:v>Ethics and governance of artificial intelligence for health: Guidance on large multi-modal models</x:v>
      </x:c>
      <x:c r="D16" s="30" t="str">
        <x:v>2025-03-25</x:v>
      </x:c>
      <x:c r="E16" s="30" t="str">
        <x:v>https://www.who.int/publications/i/item/9789240084759</x:v>
      </x:c>
      <x:c r="F16" s="30" t="str">
        <x:v>Generative-AI governance context for health</x:v>
      </x:c>
      <x:c r="G16" s="30" t="str">
        <x:v>International guideline</x:v>
      </x:c>
      <x:c r="H16" s="30" t="str">
        <x:v>Governance</x:v>
      </x:c>
    </x:row>
    <x:row r="17">
      <x:c r="A17" s="30" t="str">
        <x:v>S013</x:v>
      </x:c>
      <x:c r="B17" s="30" t="str">
        <x:v>Portea</x:v>
      </x:c>
      <x:c r="C17" s="30" t="str">
        <x:v>Portea home healthcare services</x:v>
      </x:c>
      <x:c r="D17" s="30" t="str">
        <x:v>Current as checked 2026-09-26</x:v>
      </x:c>
      <x:c r="E17" s="30" t="str">
        <x:v>https://www.portea.com/</x:v>
      </x:c>
      <x:c r="F17" s="30" t="str">
        <x:v>Organised home-care discovery, booking and delivery landscape</x:v>
      </x:c>
      <x:c r="G17" s="30" t="str">
        <x:v>Provider website</x:v>
      </x:c>
      <x:c r="H17" s="30" t="str">
        <x:v>Market landscape</x:v>
      </x:c>
    </x:row>
    <x:row r="18">
      <x:c r="A18" s="30" t="str">
        <x:v>S014</x:v>
      </x:c>
      <x:c r="B18" s="30" t="str">
        <x:v>Care24</x:v>
      </x:c>
      <x:c r="C18" s="30" t="str">
        <x:v>Care24 attendant / caregiver services</x:v>
      </x:c>
      <x:c r="D18" s="30" t="str">
        <x:v>Current as checked 2026-09-26</x:v>
      </x:c>
      <x:c r="E18" s="30" t="str">
        <x:v>https://care24.co.in/cm/attendant/</x:v>
      </x:c>
      <x:c r="F18" s="30" t="str">
        <x:v>Organised caregiver/attendant discovery and service delivery landscape</x:v>
      </x:c>
      <x:c r="G18" s="30" t="str">
        <x:v>Provider website</x:v>
      </x:c>
      <x:c r="H18" s="30" t="str">
        <x:v>Market landscape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f55918b793d449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14" hidden="0" customWidth="1"/>
    <x:col min="5" max="5" width="38" hidden="0" customWidth="1"/>
    <x:col min="7" max="7" width="22" hidden="0" customWidth="1"/>
    <x:col min="8" max="8" width="14" hidden="0" customWidth="1"/>
    <x:col min="9" max="9" width="14" hidden="0" customWidth="1"/>
    <x:col min="10" max="10" width="22" hidden="0" customWidth="1"/>
    <x:col min="11" max="11" width="24" hidden="0" customWidth="1"/>
    <x:col min="12" max="12" width="38" hidden="0" customWidth="1"/>
  </x:cols>
  <x:sheetData>
    <x:row r="1" ht="30" customHeight="1">
      <x:c r="A1" s="28" t="str">
        <x:v>Derived Calculations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</x:row>
    <x:row r="2" ht="34" customHeight="1">
      <x:c r="A2" s="29" t="str">
        <x:v>Formula-backed calculations only. These are analytical outputs from source values, not source-reported facts.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</x:row>
    <x:row r="4">
      <x:c r="A4" s="31" t="str">
        <x:v>State / UT</x:v>
      </x:c>
      <x:c r="B4" s="31" t="str">
        <x:v>FY2023-24 trainees</x:v>
      </x:c>
      <x:c r="C4" s="31" t="str">
        <x:v>Share of official total</x:v>
      </x:c>
      <x:c r="D4" s="31" t="str">
        <x:v>Source</x:v>
      </x:c>
      <x:c r="E4" s="31" t="str">
        <x:v>Boundary</x:v>
      </x:c>
      <x:c r="F4" s="30"/>
      <x:c r="G4" s="31" t="str">
        <x:v>State / geography</x:v>
      </x:c>
      <x:c r="H4" s="31" t="str">
        <x:v>Living alone</x:v>
      </x:c>
      <x:c r="I4" s="31" t="str">
        <x:v>Spouse only</x:v>
      </x:c>
      <x:c r="J4" s="31" t="str">
        <x:v>Alone + spouse-only proxy</x:v>
      </x:c>
      <x:c r="K4" s="31" t="str">
        <x:v>Source location</x:v>
      </x:c>
      <x:c r="L4" s="31" t="str">
        <x:v>Boundary</x:v>
      </x:c>
    </x:row>
    <x:row r="5">
      <x:c r="A5" s="30" t="str">
        <x:v>Madhya Pradesh</x:v>
      </x:c>
      <x:c r="B5" s="44" t="n">
        <x:v>12450</x:v>
      </x:c>
      <x:c r="C5" s="45" t="n">
        <x:f>B5/$B$22</x:f>
        <x:v>0.33845317384803586</x:v>
      </x:c>
      <x:c r="D5" s="30" t="str">
        <x:v>S004</x:v>
      </x:c>
      <x:c r="E5" s="30" t="str">
        <x:v>Training geography ≠ care-demand geography</x:v>
      </x:c>
      <x:c r="F5" s="30"/>
      <x:c r="G5" s="30" t="str">
        <x:v>India</x:v>
      </x:c>
      <x:c r="H5" s="45" t="n">
        <x:v>0.057</x:v>
      </x:c>
      <x:c r="I5" s="45" t="n">
        <x:v>0.203</x:v>
      </x:c>
      <x:c r="J5" s="45" t="n">
        <x:f>H5+I5</x:f>
        <x:v>0.26</x:v>
      </x:c>
      <x:c r="K5" s="30" t="str">
        <x:v>S002 — Table 14.4</x:v>
      </x:c>
      <x:c r="L5" s="30" t="str">
        <x:v>Contextual proxy only</x:v>
      </x:c>
    </x:row>
    <x:row r="6">
      <x:c r="A6" s="30" t="str">
        <x:v>Uttar Pradesh</x:v>
      </x:c>
      <x:c r="B6" s="44" t="n">
        <x:v>9750</x:v>
      </x:c>
      <x:c r="C6" s="45" t="n">
        <x:f>B6/$B$22</x:f>
        <x:v>0.26505369036291965</x:v>
      </x:c>
      <x:c r="D6" s="30" t="str">
        <x:v>S004</x:v>
      </x:c>
      <x:c r="E6" s="30" t="str">
        <x:v>Training geography ≠ care-demand geography</x:v>
      </x:c>
      <x:c r="F6" s="30"/>
      <x:c r="G6" s="30" t="str">
        <x:v>Andhra Pradesh</x:v>
      </x:c>
      <x:c r="H6" s="45" t="n">
        <x:v>0.09</x:v>
      </x:c>
      <x:c r="I6" s="45" t="n">
        <x:v>0.335</x:v>
      </x:c>
      <x:c r="J6" s="45" t="n">
        <x:f>H6+I6</x:f>
        <x:v>0.42500000000000004</x:v>
      </x:c>
      <x:c r="K6" s="30" t="str">
        <x:v>S002 — Table 14.4</x:v>
      </x:c>
      <x:c r="L6" s="30" t="str">
        <x:v>Does not prove lack of family support</x:v>
      </x:c>
    </x:row>
    <x:row r="7">
      <x:c r="A7" s="30" t="str">
        <x:v>Maharashtra</x:v>
      </x:c>
      <x:c r="B7" s="44" t="n">
        <x:v>3200</x:v>
      </x:c>
      <x:c r="C7" s="45" t="n">
        <x:f>B7/$B$22</x:f>
        <x:v>0.08699198042680441</x:v>
      </x:c>
      <x:c r="D7" s="30" t="str">
        <x:v>S004</x:v>
      </x:c>
      <x:c r="E7" s="30" t="str">
        <x:v>Training geography ≠ care-demand geography</x:v>
      </x:c>
      <x:c r="F7" s="30"/>
      <x:c r="G7" s="30" t="str">
        <x:v>Gujarat</x:v>
      </x:c>
      <x:c r="H7" s="45" t="n">
        <x:v>0.046</x:v>
      </x:c>
      <x:c r="I7" s="45" t="n">
        <x:v>0.202</x:v>
      </x:c>
      <x:c r="J7" s="45" t="n">
        <x:f>H7+I7</x:f>
        <x:v>0.248</x:v>
      </x:c>
      <x:c r="K7" s="30" t="str">
        <x:v>S002 — Table 14.4</x:v>
      </x:c>
      <x:c r="L7" s="30" t="str">
        <x:v>Does not prove lack of family support</x:v>
      </x:c>
    </x:row>
    <x:row r="8">
      <x:c r="A8" s="30" t="str">
        <x:v>Rajasthan</x:v>
      </x:c>
      <x:c r="B8" s="44" t="n">
        <x:v>2800</x:v>
      </x:c>
      <x:c r="C8" s="45" t="n">
        <x:f>B8/$B$22</x:f>
        <x:v>0.07611798287345385</x:v>
      </x:c>
      <x:c r="D8" s="30" t="str">
        <x:v>S004</x:v>
      </x:c>
      <x:c r="E8" s="30" t="str">
        <x:v>Training geography ≠ care-demand geography</x:v>
      </x:c>
      <x:c r="F8" s="30"/>
      <x:c r="G8" s="30" t="str">
        <x:v>Maharashtra</x:v>
      </x:c>
      <x:c r="H8" s="45" t="n">
        <x:v>0.05</x:v>
      </x:c>
      <x:c r="I8" s="45" t="n">
        <x:v>0.174</x:v>
      </x:c>
      <x:c r="J8" s="45" t="n">
        <x:f>H8+I8</x:f>
        <x:v>0.22399999999999998</x:v>
      </x:c>
      <x:c r="K8" s="30" t="str">
        <x:v>S002 — Table 14.4</x:v>
      </x:c>
      <x:c r="L8" s="30" t="str">
        <x:v>Does not prove lack of family support</x:v>
      </x:c>
    </x:row>
    <x:row r="9">
      <x:c r="A9" s="30" t="str">
        <x:v>Jammu &amp; Kashmir</x:v>
      </x:c>
      <x:c r="B9" s="44" t="n">
        <x:v>2600</x:v>
      </x:c>
      <x:c r="C9" s="45" t="n">
        <x:f>B9/$B$22</x:f>
        <x:v>0.07068098409677857</x:v>
      </x:c>
      <x:c r="D9" s="30" t="str">
        <x:v>S004</x:v>
      </x:c>
      <x:c r="E9" s="30" t="str">
        <x:v>Training geography ≠ care-demand geography</x:v>
      </x:c>
      <x:c r="F9" s="30"/>
      <x:c r="G9" s="30" t="str">
        <x:v>Tamil Nadu</x:v>
      </x:c>
      <x:c r="H9" s="45" t="n">
        <x:v>0.152</x:v>
      </x:c>
      <x:c r="I9" s="45" t="n">
        <x:v>0.254</x:v>
      </x:c>
      <x:c r="J9" s="45" t="n">
        <x:f>H9+I9</x:f>
        <x:v>0.406</x:v>
      </x:c>
      <x:c r="K9" s="30" t="str">
        <x:v>S002 — Table 14.4</x:v>
      </x:c>
      <x:c r="L9" s="30" t="str">
        <x:v>Does not prove lack of family support</x:v>
      </x:c>
    </x:row>
    <x:row r="10">
      <x:c r="A10" s="30" t="str">
        <x:v>Himachal Pradesh</x:v>
      </x:c>
      <x:c r="B10" s="44" t="n">
        <x:v>1575</x:v>
      </x:c>
      <x:c r="C10" s="45" t="n">
        <x:f>B10/$B$22</x:f>
        <x:v>0.04281636536631779</x:v>
      </x:c>
      <x:c r="D10" s="30" t="str">
        <x:v>S004</x:v>
      </x:c>
      <x:c r="E10" s="30" t="str">
        <x:v>Training geography ≠ care-demand geography</x:v>
      </x:c>
      <x:c r="F10" s="30"/>
      <x:c r="G10" s="30" t="str">
        <x:v>Telangana</x:v>
      </x:c>
      <x:c r="H10" s="45" t="n">
        <x:v>0.105</x:v>
      </x:c>
      <x:c r="I10" s="45" t="n">
        <x:v>0.312</x:v>
      </x:c>
      <x:c r="J10" s="45" t="n">
        <x:f>H10+I10</x:f>
        <x:v>0.417</x:v>
      </x:c>
      <x:c r="K10" s="30" t="str">
        <x:v>S002 — Table 14.4</x:v>
      </x:c>
      <x:c r="L10" s="30" t="str">
        <x:v>Does not prove lack of family support</x:v>
      </x:c>
    </x:row>
    <x:row r="11">
      <x:c r="A11" s="30" t="str">
        <x:v>Karnataka</x:v>
      </x:c>
      <x:c r="B11" s="44" t="n">
        <x:v>1100</x:v>
      </x:c>
      <x:c r="C11" s="45" t="n">
        <x:f>B11/$B$22</x:f>
        <x:v>0.029903493271714012</x:v>
      </x:c>
      <x:c r="D11" s="30" t="str">
        <x:v>S004</x:v>
      </x:c>
      <x:c r="E11" s="30" t="str">
        <x:v>Training geography ≠ care-demand geography</x:v>
      </x:c>
      <x:c r="F11" s="30"/>
      <x:c r="G11" s="30"/>
      <x:c r="H11" s="30"/>
      <x:c r="I11" s="30"/>
      <x:c r="J11" s="30"/>
      <x:c r="K11" s="30"/>
      <x:c r="L11" s="30"/>
    </x:row>
    <x:row r="12">
      <x:c r="A12" s="30" t="str">
        <x:v>Punjab</x:v>
      </x:c>
      <x:c r="B12" s="44" t="n">
        <x:v>850</x:v>
      </x:c>
      <x:c r="C12" s="45" t="n">
        <x:f>B12/$B$22</x:f>
        <x:v>0.02310724480086992</x:v>
      </x:c>
      <x:c r="D12" s="30" t="str">
        <x:v>S004</x:v>
      </x:c>
      <x:c r="E12" s="30" t="str">
        <x:v>Training geography ≠ care-demand geography</x:v>
      </x:c>
      <x:c r="F12" s="30"/>
      <x:c r="G12" s="30"/>
      <x:c r="H12" s="30"/>
      <x:c r="I12" s="30"/>
      <x:c r="J12" s="30"/>
      <x:c r="K12" s="30"/>
      <x:c r="L12" s="30"/>
    </x:row>
    <x:row r="13">
      <x:c r="A13" s="30" t="str">
        <x:v>Bihar</x:v>
      </x:c>
      <x:c r="B13" s="44" t="n">
        <x:v>750</x:v>
      </x:c>
      <x:c r="C13" s="45" t="n">
        <x:f>B13/$B$22</x:f>
        <x:v>0.020388745412532282</x:v>
      </x:c>
      <x:c r="D13" s="30" t="str">
        <x:v>S004</x:v>
      </x:c>
      <x:c r="E13" s="30" t="str">
        <x:v>Training geography ≠ care-demand geography</x:v>
      </x:c>
      <x:c r="F13" s="30"/>
      <x:c r="G13" s="30"/>
      <x:c r="H13" s="30"/>
      <x:c r="I13" s="30"/>
      <x:c r="J13" s="30"/>
      <x:c r="K13" s="30"/>
      <x:c r="L13" s="30"/>
    </x:row>
    <x:row r="14">
      <x:c r="A14" s="30" t="str">
        <x:v>Gujarat</x:v>
      </x:c>
      <x:c r="B14" s="44" t="n">
        <x:v>650</x:v>
      </x:c>
      <x:c r="C14" s="45" t="n">
        <x:f>B14/$B$22</x:f>
        <x:v>0.017670246024194643</x:v>
      </x:c>
      <x:c r="D14" s="30" t="str">
        <x:v>S004</x:v>
      </x:c>
      <x:c r="E14" s="30" t="str">
        <x:v>Training geography ≠ care-demand geography</x:v>
      </x:c>
      <x:c r="F14" s="30"/>
      <x:c r="G14" s="30"/>
      <x:c r="H14" s="30"/>
      <x:c r="I14" s="30"/>
      <x:c r="J14" s="30"/>
      <x:c r="K14" s="30"/>
      <x:c r="L14" s="30"/>
    </x:row>
    <x:row r="15">
      <x:c r="A15" s="30" t="str">
        <x:v>Chhattisgarh</x:v>
      </x:c>
      <x:c r="B15" s="44" t="n">
        <x:v>200</x:v>
      </x:c>
      <x:c r="C15" s="45" t="n">
        <x:f>B15/$B$22</x:f>
        <x:v>0.0054369987766752755</x:v>
      </x:c>
      <x:c r="D15" s="30" t="str">
        <x:v>S004</x:v>
      </x:c>
      <x:c r="E15" s="30" t="str">
        <x:v>Training geography ≠ care-demand geography</x:v>
      </x:c>
      <x:c r="F15" s="30"/>
      <x:c r="G15" s="30"/>
      <x:c r="H15" s="30"/>
      <x:c r="I15" s="30"/>
      <x:c r="J15" s="30"/>
      <x:c r="K15" s="30"/>
      <x:c r="L15" s="30"/>
    </x:row>
    <x:row r="16">
      <x:c r="A16" s="30" t="str">
        <x:v>Haryana</x:v>
      </x:c>
      <x:c r="B16" s="44" t="n">
        <x:v>200</x:v>
      </x:c>
      <x:c r="C16" s="45" t="n">
        <x:f>B16/$B$22</x:f>
        <x:v>0.0054369987766752755</x:v>
      </x:c>
      <x:c r="D16" s="30" t="str">
        <x:v>S004</x:v>
      </x:c>
      <x:c r="E16" s="30" t="str">
        <x:v>Training geography ≠ care-demand geography</x:v>
      </x:c>
      <x:c r="F16" s="30"/>
      <x:c r="G16" s="30"/>
      <x:c r="H16" s="30"/>
      <x:c r="I16" s="30"/>
      <x:c r="J16" s="30"/>
      <x:c r="K16" s="30"/>
      <x:c r="L16" s="30"/>
    </x:row>
    <x:row r="17">
      <x:c r="A17" s="30" t="str">
        <x:v>Uttarakhand</x:v>
      </x:c>
      <x:c r="B17" s="44" t="n">
        <x:v>200</x:v>
      </x:c>
      <x:c r="C17" s="45" t="n">
        <x:f>B17/$B$22</x:f>
        <x:v>0.0054369987766752755</x:v>
      </x:c>
      <x:c r="D17" s="30" t="str">
        <x:v>S004</x:v>
      </x:c>
      <x:c r="E17" s="30" t="str">
        <x:v>Training geography ≠ care-demand geography</x:v>
      </x:c>
      <x:c r="F17" s="30"/>
      <x:c r="G17" s="30"/>
      <x:c r="H17" s="30"/>
      <x:c r="I17" s="30"/>
      <x:c r="J17" s="30"/>
      <x:c r="K17" s="30"/>
      <x:c r="L17" s="30"/>
    </x:row>
    <x:row r="18">
      <x:c r="A18" s="30" t="str">
        <x:v>Andhra Pradesh</x:v>
      </x:c>
      <x:c r="B18" s="44" t="n">
        <x:v>150</x:v>
      </x:c>
      <x:c r="C18" s="45" t="n">
        <x:f>B18/$B$22</x:f>
        <x:v>0.004077749082506457</x:v>
      </x:c>
      <x:c r="D18" s="30" t="str">
        <x:v>S004</x:v>
      </x:c>
      <x:c r="E18" s="30" t="str">
        <x:v>Training geography ≠ care-demand geography</x:v>
      </x:c>
      <x:c r="F18" s="30"/>
      <x:c r="G18" s="30"/>
      <x:c r="H18" s="30"/>
      <x:c r="I18" s="30"/>
      <x:c r="J18" s="30"/>
      <x:c r="K18" s="30"/>
      <x:c r="L18" s="30"/>
    </x:row>
    <x:row r="19">
      <x:c r="A19" s="30" t="str">
        <x:v>Tamil Nadu</x:v>
      </x:c>
      <x:c r="B19" s="44" t="n">
        <x:v>150</x:v>
      </x:c>
      <x:c r="C19" s="45" t="n">
        <x:f>B19/$B$22</x:f>
        <x:v>0.004077749082506457</x:v>
      </x:c>
      <x:c r="D19" s="30" t="str">
        <x:v>S004</x:v>
      </x:c>
      <x:c r="E19" s="30" t="str">
        <x:v>Training geography ≠ care-demand geography</x:v>
      </x:c>
      <x:c r="F19" s="30"/>
      <x:c r="G19" s="30"/>
      <x:c r="H19" s="30"/>
      <x:c r="I19" s="30"/>
      <x:c r="J19" s="30"/>
      <x:c r="K19" s="30"/>
      <x:c r="L19" s="30"/>
    </x:row>
    <x:row r="20">
      <x:c r="A20" s="30" t="str">
        <x:v>Delhi</x:v>
      </x:c>
      <x:c r="B20" s="44" t="n">
        <x:v>100</x:v>
      </x:c>
      <x:c r="C20" s="45" t="n">
        <x:f>B20/$B$22</x:f>
        <x:v>0.0027184993883376377</x:v>
      </x:c>
      <x:c r="D20" s="30" t="str">
        <x:v>S004</x:v>
      </x:c>
      <x:c r="E20" s="30" t="str">
        <x:v>Training geography ≠ care-demand geography</x:v>
      </x:c>
      <x:c r="F20" s="30"/>
      <x:c r="G20" s="30"/>
      <x:c r="H20" s="30"/>
      <x:c r="I20" s="30"/>
      <x:c r="J20" s="30"/>
      <x:c r="K20" s="30"/>
      <x:c r="L20" s="30"/>
    </x:row>
    <x:row r="21">
      <x:c r="A21" s="30" t="str">
        <x:v>Telangana</x:v>
      </x:c>
      <x:c r="B21" s="44" t="n">
        <x:v>60</x:v>
      </x:c>
      <x:c r="C21" s="45" t="n">
        <x:f>B21/$B$22</x:f>
        <x:v>0.0016310996330025826</x:v>
      </x:c>
      <x:c r="D21" s="30" t="str">
        <x:v>S004</x:v>
      </x:c>
      <x:c r="E21" s="30" t="str">
        <x:v>Training geography ≠ care-demand geography</x:v>
      </x:c>
      <x:c r="F21" s="30"/>
      <x:c r="G21" s="30"/>
      <x:c r="H21" s="30"/>
      <x:c r="I21" s="30"/>
      <x:c r="J21" s="30"/>
      <x:c r="K21" s="30"/>
      <x:c r="L21" s="30"/>
    </x:row>
    <x:row r="22">
      <x:c r="A22" s="30" t="str">
        <x:v>TOTAL</x:v>
      </x:c>
      <x:c r="B22" s="44" t="n">
        <x:f>SUM(B5:B21)</x:f>
        <x:v>36785</x:v>
      </x:c>
      <x:c r="C22" s="45" t="n">
        <x:f>SUM(C5:C21)</x:f>
        <x:v>1.0000000000000002</x:v>
      </x:c>
      <x:c r="D22" s="30" t="str">
        <x:v>S004</x:v>
      </x:c>
      <x:c r="E22" s="30" t="str">
        <x:v>Official total / formula cross-check</x:v>
      </x:c>
      <x:c r="F22" s="30"/>
      <x:c r="G22" s="30"/>
      <x:c r="H22" s="30"/>
      <x:c r="I22" s="30"/>
      <x:c r="J22" s="30"/>
      <x:c r="K22" s="30"/>
      <x:c r="L22" s="30"/>
    </x:row>
    <x:row r="23">
      <x:c r="A23" s="30"/>
      <x:c r="B23" s="44"/>
      <x:c r="C23" s="45"/>
      <x:c r="D23" s="30"/>
      <x:c r="E23" s="30"/>
      <x:c r="F23" s="30"/>
      <x:c r="G23" s="30"/>
      <x:c r="H23" s="30"/>
      <x:c r="I23" s="30"/>
      <x:c r="J23" s="30"/>
      <x:c r="K23" s="30"/>
      <x:c r="L23" s="30"/>
    </x:row>
    <x:row r="24">
      <x:c r="A24" s="30" t="str">
        <x:v>Top-3 concentration (MP + UP + Maharashtra)</x:v>
      </x:c>
      <x:c r="B24" s="44" t="n">
        <x:f>SUM(B5:B7)</x:f>
        <x:v>25400</x:v>
      </x:c>
      <x:c r="C24" s="45" t="n">
        <x:f>B24/B22</x:f>
        <x:v>0.69049884463776</x:v>
      </x:c>
      <x:c r="D24" s="30" t="str">
        <x:v>DERIVED</x:v>
      </x:c>
      <x:c r="E24" s="30" t="str">
        <x:v>Not a demand ranking</x:v>
      </x:c>
      <x:c r="F24" s="30"/>
      <x:c r="G24" s="30"/>
      <x:c r="H24" s="30"/>
      <x:c r="I24" s="30"/>
      <x:c r="J24" s="30"/>
      <x:c r="K24" s="30"/>
      <x:c r="L24" s="30"/>
    </x:row>
  </x:sheetData>
  <x:mergeCells>
    <x:mergeCell ref="A1:L1"/>
    <x:mergeCell ref="A2:L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6" hidden="0" customWidth="1"/>
    <x:col min="4" max="4" width="14" hidden="0" customWidth="1"/>
    <x:col min="5" max="5" width="15" hidden="0" customWidth="1"/>
    <x:col min="6" max="6" width="20" hidden="0" customWidth="1"/>
    <x:col min="7" max="7" width="26" hidden="0" customWidth="1"/>
    <x:col min="8" max="8" width="18" hidden="0" customWidth="1"/>
    <x:col min="9" max="9" width="14" hidden="0" customWidth="1"/>
    <x:col min="10" max="10" width="40" hidden="0" customWidth="1"/>
    <x:col min="11" max="11" width="32" hidden="0" customWidth="1"/>
    <x:col min="12" max="12" width="42" hidden="0" customWidth="1"/>
    <x:col min="13" max="13" width="32" hidden="0" customWidth="1"/>
    <x:col min="14" max="14" width="55" hidden="0" customWidth="1"/>
    <x:col min="15" max="15" width="14" hidden="0" customWidth="1"/>
    <x:col min="16" max="16" width="24" hidden="0" customWidth="1"/>
  </x:cols>
  <x:sheetData>
    <x:row r="1" ht="30" customHeight="1">
      <x:c r="A1" s="28" t="str">
        <x:v>Evidence Register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</x:row>
    <x:row r="2" ht="34" customHeight="1">
      <x:c r="A2" s="29" t="str">
        <x:v>Public-facing source of truth. Every major factual claim should point here or to a clearly labelled hypothesis/data gap.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</x:row>
    <x:row r="4">
      <x:c r="A4" s="31" t="str">
        <x:v>ID</x:v>
      </x:c>
      <x:c r="B4" s="31" t="str">
        <x:v>Evidence / Claim</x:v>
      </x:c>
      <x:c r="C4" s="31" t="str">
        <x:v>Evidence Class</x:v>
      </x:c>
      <x:c r="D4" s="31" t="str">
        <x:v>Source ID</x:v>
      </x:c>
      <x:c r="E4" s="31" t="str">
        <x:v>Source Date</x:v>
      </x:c>
      <x:c r="F4" s="31" t="str">
        <x:v>Reporting Period</x:v>
      </x:c>
      <x:c r="G4" s="31" t="str">
        <x:v>Population / Denominator</x:v>
      </x:c>
      <x:c r="H4" s="31" t="str">
        <x:v>Geography</x:v>
      </x:c>
      <x:c r="I4" s="31" t="str">
        <x:v>Value</x:v>
      </x:c>
      <x:c r="J4" s="31" t="str">
        <x:v>Unit / Finding</x:v>
      </x:c>
      <x:c r="K4" s="31" t="str">
        <x:v>Decision Relevance</x:v>
      </x:c>
      <x:c r="L4" s="31" t="str">
        <x:v>Limitation</x:v>
      </x:c>
      <x:c r="M4" s="31" t="str">
        <x:v>Source Location</x:v>
      </x:c>
      <x:c r="N4" s="31" t="str">
        <x:v>URL</x:v>
      </x:c>
      <x:c r="O4" s="31" t="str">
        <x:v>Last Checked</x:v>
      </x:c>
      <x:c r="P4" s="31" t="str">
        <x:v>Verification</x:v>
      </x:c>
    </x:row>
    <x:row r="5">
      <x:c r="A5" s="30" t="str">
        <x:v>E001</x:v>
      </x:c>
      <x:c r="B5" s="30" t="str">
        <x:v>Population age 60+ in 2022</x:v>
      </x:c>
      <x:c r="C5" s="48" t="str">
        <x:v>REAL DATA</x:v>
      </x:c>
      <x:c r="D5" s="30" t="str">
        <x:v>S001</x:v>
      </x:c>
      <x:c r="E5" s="30" t="str">
        <x:v>2026-08-05</x:v>
      </x:c>
      <x:c r="F5" s="30" t="str">
        <x:v>2022</x:v>
      </x:c>
      <x:c r="G5" s="30" t="str">
        <x:v>People age 60+</x:v>
      </x:c>
      <x:c r="H5" s="30" t="str">
        <x:v>India</x:v>
      </x:c>
      <x:c r="I5" s="30" t="n">
        <x:v>149</x:v>
      </x:c>
      <x:c r="J5" s="30" t="str">
        <x:v>million people</x:v>
      </x:c>
      <x:c r="K5" s="30" t="str">
        <x:v>Scale/context only</x:v>
      </x:c>
      <x:c r="L5" s="30" t="str">
        <x:v>Population ≠ care need or paid-care demand</x:v>
      </x:c>
      <x:c r="M5" s="30" t="str">
        <x:v>NITI 2026 demographic context</x:v>
      </x:c>
      <x:c r="N5" s="30" t="str">
        <x:v>https://www.niti.gov.in/sites/default/files/2026-08/Reimagining-Care-Strategies-for-Empowering-Caregivers-in-Viksit-Bharat-2047.pdf</x:v>
      </x:c>
      <x:c r="O5" s="30" t="str">
        <x:v>2026-09-26</x:v>
      </x:c>
      <x:c r="P5" s="30" t="str">
        <x:v>VERIFIED</x:v>
      </x:c>
    </x:row>
    <x:row r="6">
      <x:c r="A6" s="30" t="str">
        <x:v>E002</x:v>
      </x:c>
      <x:c r="B6" s="30" t="str">
        <x:v>Projected population age 60+ in 2050</x:v>
      </x:c>
      <x:c r="C6" s="48" t="str">
        <x:v>REAL DATA</x:v>
      </x:c>
      <x:c r="D6" s="30" t="str">
        <x:v>S001</x:v>
      </x:c>
      <x:c r="E6" s="30" t="str">
        <x:v>2026-08-05</x:v>
      </x:c>
      <x:c r="F6" s="30" t="str">
        <x:v>2050 projection</x:v>
      </x:c>
      <x:c r="G6" s="30" t="str">
        <x:v>People age 60+</x:v>
      </x:c>
      <x:c r="H6" s="30" t="str">
        <x:v>India</x:v>
      </x:c>
      <x:c r="I6" s="30" t="n">
        <x:v>347</x:v>
      </x:c>
      <x:c r="J6" s="30" t="str">
        <x:v>million people</x:v>
      </x:c>
      <x:c r="K6" s="30" t="str">
        <x:v>Long-run demographic context</x:v>
      </x:c>
      <x:c r="L6" s="30" t="str">
        <x:v>Projection; not current need</x:v>
      </x:c>
      <x:c r="M6" s="30" t="str">
        <x:v>NITI 2026 demographic context</x:v>
      </x:c>
      <x:c r="N6" s="30" t="str">
        <x:v>https://www.niti.gov.in/sites/default/files/2026-08/Reimagining-Care-Strategies-for-Empowering-Caregivers-in-Viksit-Bharat-2047.pdf</x:v>
      </x:c>
      <x:c r="O6" s="30" t="str">
        <x:v>2026-09-26</x:v>
      </x:c>
      <x:c r="P6" s="30" t="str">
        <x:v>VERIFIED</x:v>
      </x:c>
    </x:row>
    <x:row r="7">
      <x:c r="A7" s="30" t="str">
        <x:v>E003</x:v>
      </x:c>
      <x:c r="B7" s="30" t="str">
        <x:v>Share of population age 60+ in 2022</x:v>
      </x:c>
      <x:c r="C7" s="48" t="str">
        <x:v>REAL DATA</x:v>
      </x:c>
      <x:c r="D7" s="30" t="str">
        <x:v>S001</x:v>
      </x:c>
      <x:c r="E7" s="30" t="str">
        <x:v>2026-08-05</x:v>
      </x:c>
      <x:c r="F7" s="30" t="str">
        <x:v>2022</x:v>
      </x:c>
      <x:c r="G7" s="30" t="str">
        <x:v>Total population</x:v>
      </x:c>
      <x:c r="H7" s="30" t="str">
        <x:v>India</x:v>
      </x:c>
      <x:c r="I7" s="45" t="n">
        <x:v>0.105</x:v>
      </x:c>
      <x:c r="J7" s="30" t="str">
        <x:v>%</x:v>
      </x:c>
      <x:c r="K7" s="30" t="str">
        <x:v>Demographic transition</x:v>
      </x:c>
      <x:c r="L7" s="30" t="str">
        <x:v>Population share ≠ care need</x:v>
      </x:c>
      <x:c r="M7" s="30" t="str">
        <x:v>NITI 2026 demographic context</x:v>
      </x:c>
      <x:c r="N7" s="30" t="str">
        <x:v>https://www.niti.gov.in/sites/default/files/2026-08/Reimagining-Care-Strategies-for-Empowering-Caregivers-in-Viksit-Bharat-2047.pdf</x:v>
      </x:c>
      <x:c r="O7" s="30" t="str">
        <x:v>2026-09-26</x:v>
      </x:c>
      <x:c r="P7" s="30" t="str">
        <x:v>VERIFIED</x:v>
      </x:c>
    </x:row>
    <x:row r="8">
      <x:c r="A8" s="30" t="str">
        <x:v>E004</x:v>
      </x:c>
      <x:c r="B8" s="30" t="str">
        <x:v>Projected share of population age 60+ in 2050</x:v>
      </x:c>
      <x:c r="C8" s="48" t="str">
        <x:v>REAL DATA</x:v>
      </x:c>
      <x:c r="D8" s="30" t="str">
        <x:v>S001</x:v>
      </x:c>
      <x:c r="E8" s="30" t="str">
        <x:v>2026-08-05</x:v>
      </x:c>
      <x:c r="F8" s="30" t="str">
        <x:v>2050 projection</x:v>
      </x:c>
      <x:c r="G8" s="30" t="str">
        <x:v>Total population</x:v>
      </x:c>
      <x:c r="H8" s="30" t="str">
        <x:v>India</x:v>
      </x:c>
      <x:c r="I8" s="45" t="n">
        <x:v>0.208</x:v>
      </x:c>
      <x:c r="J8" s="30" t="str">
        <x:v>%</x:v>
      </x:c>
      <x:c r="K8" s="30" t="str">
        <x:v>Demographic transition</x:v>
      </x:c>
      <x:c r="L8" s="30" t="str">
        <x:v>Projection</x:v>
      </x:c>
      <x:c r="M8" s="30" t="str">
        <x:v>NITI 2026 demographic context</x:v>
      </x:c>
      <x:c r="N8" s="30" t="str">
        <x:v>https://www.niti.gov.in/sites/default/files/2026-08/Reimagining-Care-Strategies-for-Empowering-Caregivers-in-Viksit-Bharat-2047.pdf</x:v>
      </x:c>
      <x:c r="O8" s="30" t="str">
        <x:v>2026-09-26</x:v>
      </x:c>
      <x:c r="P8" s="30" t="str">
        <x:v>VERIFIED</x:v>
      </x:c>
    </x:row>
    <x:row r="9">
      <x:c r="A9" s="30" t="str">
        <x:v>E005</x:v>
      </x:c>
      <x:c r="B9" s="30" t="str">
        <x:v>At least one ADL limitation</x:v>
      </x:c>
      <x:c r="C9" s="48" t="str">
        <x:v>REAL DATA</x:v>
      </x:c>
      <x:c r="D9" s="30" t="str">
        <x:v>S002</x:v>
      </x:c>
      <x:c r="E9" s="30" t="str">
        <x:v>2020</x:v>
      </x:c>
      <x:c r="F9" s="30" t="str">
        <x:v>LASI Wave 1, 2017-18</x:v>
      </x:c>
      <x:c r="G9" s="30" t="str">
        <x:v>Adults age 60+</x:v>
      </x:c>
      <x:c r="H9" s="30" t="str">
        <x:v>India</x:v>
      </x:c>
      <x:c r="I9" s="45" t="n">
        <x:v>0.238</x:v>
      </x:c>
      <x:c r="J9" s="30" t="str">
        <x:v>%</x:v>
      </x:c>
      <x:c r="K9" s="30" t="str">
        <x:v>Potential care need</x:v>
      </x:c>
      <x:c r="L9" s="30" t="str">
        <x:v>Historical survey measure; not paid-care demand</x:v>
      </x:c>
      <x:c r="M9" s="30" t="str">
        <x:v>Figure 11.1</x:v>
      </x:c>
      <x:c r="N9" s="30" t="str">
        <x:v>https://www.iipsindia.ac.in/sites/default/files/LASI_India_Report_2020_compressed.pdf</x:v>
      </x:c>
      <x:c r="O9" s="30" t="str">
        <x:v>2026-09-26</x:v>
      </x:c>
      <x:c r="P9" s="30" t="str">
        <x:v>VERIFIED</x:v>
      </x:c>
    </x:row>
    <x:row r="10">
      <x:c r="A10" s="30" t="str">
        <x:v>E006</x:v>
      </x:c>
      <x:c r="B10" s="30" t="str">
        <x:v>At least one IADL limitation</x:v>
      </x:c>
      <x:c r="C10" s="48" t="str">
        <x:v>REAL DATA</x:v>
      </x:c>
      <x:c r="D10" s="30" t="str">
        <x:v>S002</x:v>
      </x:c>
      <x:c r="E10" s="30" t="str">
        <x:v>2020</x:v>
      </x:c>
      <x:c r="F10" s="30" t="str">
        <x:v>LASI Wave 1, 2017-18</x:v>
      </x:c>
      <x:c r="G10" s="30" t="str">
        <x:v>Adults age 60+</x:v>
      </x:c>
      <x:c r="H10" s="30" t="str">
        <x:v>India</x:v>
      </x:c>
      <x:c r="I10" s="45" t="n">
        <x:v>0.48</x:v>
      </x:c>
      <x:c r="J10" s="30" t="str">
        <x:v>%</x:v>
      </x:c>
      <x:c r="K10" s="30" t="str">
        <x:v>Potential care need</x:v>
      </x:c>
      <x:c r="L10" s="30" t="str">
        <x:v>Historical survey measure; not paid-care demand</x:v>
      </x:c>
      <x:c r="M10" s="30" t="str">
        <x:v>Figure 11.1</x:v>
      </x:c>
      <x:c r="N10" s="30" t="str">
        <x:v>https://www.iipsindia.ac.in/sites/default/files/LASI_India_Report_2020_compressed.pdf</x:v>
      </x:c>
      <x:c r="O10" s="30" t="str">
        <x:v>2026-09-26</x:v>
      </x:c>
      <x:c r="P10" s="30" t="str">
        <x:v>VERIFIED</x:v>
      </x:c>
    </x:row>
    <x:row r="11">
      <x:c r="A11" s="30" t="str">
        <x:v>E007</x:v>
      </x:c>
      <x:c r="B11" s="30" t="str">
        <x:v>Living alone</x:v>
      </x:c>
      <x:c r="C11" s="48" t="str">
        <x:v>REAL DATA</x:v>
      </x:c>
      <x:c r="D11" s="30" t="str">
        <x:v>S002</x:v>
      </x:c>
      <x:c r="E11" s="30" t="str">
        <x:v>2020</x:v>
      </x:c>
      <x:c r="F11" s="30" t="str">
        <x:v>LASI Wave 1, 2017-18</x:v>
      </x:c>
      <x:c r="G11" s="30" t="str">
        <x:v>Adults age 60+</x:v>
      </x:c>
      <x:c r="H11" s="30" t="str">
        <x:v>India</x:v>
      </x:c>
      <x:c r="I11" s="45" t="n">
        <x:v>0.057</x:v>
      </x:c>
      <x:c r="J11" s="30" t="str">
        <x:v>%</x:v>
      </x:c>
      <x:c r="K11" s="30" t="str">
        <x:v>Household context</x:v>
      </x:c>
      <x:c r="L11" s="30" t="str">
        <x:v>Does not establish family support availability</x:v>
      </x:c>
      <x:c r="M11" s="30" t="str">
        <x:v>Table 14.4</x:v>
      </x:c>
      <x:c r="N11" s="30" t="str">
        <x:v>https://www.iipsindia.ac.in/sites/default/files/LASI_India_Report_2020_compressed.pdf</x:v>
      </x:c>
      <x:c r="O11" s="30" t="str">
        <x:v>2026-09-26</x:v>
      </x:c>
      <x:c r="P11" s="30" t="str">
        <x:v>VERIFIED</x:v>
      </x:c>
    </x:row>
    <x:row r="12">
      <x:c r="A12" s="30" t="str">
        <x:v>E008</x:v>
      </x:c>
      <x:c r="B12" s="30" t="str">
        <x:v>Living with spouse only</x:v>
      </x:c>
      <x:c r="C12" s="48" t="str">
        <x:v>REAL DATA</x:v>
      </x:c>
      <x:c r="D12" s="30" t="str">
        <x:v>S002</x:v>
      </x:c>
      <x:c r="E12" s="30" t="str">
        <x:v>2020</x:v>
      </x:c>
      <x:c r="F12" s="30" t="str">
        <x:v>LASI Wave 1, 2017-18</x:v>
      </x:c>
      <x:c r="G12" s="30" t="str">
        <x:v>Adults age 60+</x:v>
      </x:c>
      <x:c r="H12" s="30" t="str">
        <x:v>India</x:v>
      </x:c>
      <x:c r="I12" s="45" t="n">
        <x:v>0.203</x:v>
      </x:c>
      <x:c r="J12" s="30" t="str">
        <x:v>%</x:v>
      </x:c>
      <x:c r="K12" s="30" t="str">
        <x:v>Household context</x:v>
      </x:c>
      <x:c r="L12" s="30" t="str">
        <x:v>Does not establish family support availability</x:v>
      </x:c>
      <x:c r="M12" s="30" t="str">
        <x:v>Table 14.4</x:v>
      </x:c>
      <x:c r="N12" s="30" t="str">
        <x:v>https://www.iipsindia.ac.in/sites/default/files/LASI_India_Report_2020_compressed.pdf</x:v>
      </x:c>
      <x:c r="O12" s="30" t="str">
        <x:v>2026-09-26</x:v>
      </x:c>
      <x:c r="P12" s="30" t="str">
        <x:v>VERIFIED</x:v>
      </x:c>
    </x:row>
    <x:row r="13">
      <x:c r="A13" s="30" t="str">
        <x:v>E009</x:v>
      </x:c>
      <x:c r="B13" s="30" t="str">
        <x:v>PM-SPECIAL trainees</x:v>
      </x:c>
      <x:c r="C13" s="48" t="str">
        <x:v>REAL DATA</x:v>
      </x:c>
      <x:c r="D13" s="30" t="str">
        <x:v>S004</x:v>
      </x:c>
      <x:c r="E13" s="30" t="str">
        <x:v>2025-03-18</x:v>
      </x:c>
      <x:c r="F13" s="30" t="str">
        <x:v>FY2023-24</x:v>
      </x:c>
      <x:c r="G13" s="30" t="str">
        <x:v>People trained under PM-SPECIAL</x:v>
      </x:c>
      <x:c r="H13" s="30" t="str">
        <x:v>India</x:v>
      </x:c>
      <x:c r="I13" s="44" t="n">
        <x:v>36785</x:v>
      </x:c>
      <x:c r="J13" s="30" t="str">
        <x:v>trainees</x:v>
      </x:c>
      <x:c r="K13" s="30" t="str">
        <x:v>Workforce pipeline</x:v>
      </x:c>
      <x:c r="L13" s="30" t="str">
        <x:v>Training ≠ employment, availability or delivered care</x:v>
      </x:c>
      <x:c r="M13" s="30" t="str">
        <x:v>PIB release 2112161</x:v>
      </x:c>
      <x:c r="N13" s="30" t="str">
        <x:v>https://www.pib.gov.in/PressReleasePage.aspx?PRID=2112161&amp;lang=2&amp;reg=48</x:v>
      </x:c>
      <x:c r="O13" s="30" t="str">
        <x:v>2026-09-26</x:v>
      </x:c>
      <x:c r="P13" s="30" t="str">
        <x:v>VERIFIED</x:v>
      </x:c>
    </x:row>
    <x:row r="14">
      <x:c r="A14" s="30" t="str">
        <x:v>E010</x:v>
      </x:c>
      <x:c r="B14" s="30" t="str">
        <x:v>Union Budget caregiver training scale</x:v>
      </x:c>
      <x:c r="C14" s="48" t="str">
        <x:v>REAL DATA</x:v>
      </x:c>
      <x:c r="D14" s="30" t="str">
        <x:v>S005/S006/S007</x:v>
      </x:c>
      <x:c r="E14" s="30" t="str">
        <x:v>2026</x:v>
      </x:c>
      <x:c r="F14" s="30" t="str">
        <x:v>Budget 2026-27 announcement</x:v>
      </x:c>
      <x:c r="G14" s="30" t="str">
        <x:v>Planned multiskilled caregivers</x:v>
      </x:c>
      <x:c r="H14" s="30" t="str">
        <x:v>India</x:v>
      </x:c>
      <x:c r="I14" s="44" t="n">
        <x:v>150000</x:v>
      </x:c>
      <x:c r="J14" s="30" t="str">
        <x:v>people targeted for training</x:v>
      </x:c>
      <x:c r="K14" s="30" t="str">
        <x:v>Pipeline expansion</x:v>
      </x:c>
      <x:c r="L14" s="30" t="str">
        <x:v>Official 2026 materials conflict on time horizon wording; treat as announced scale, not a clean time-series target</x:v>
      </x:c>
      <x:c r="M14" s="30" t="str">
        <x:v>PIB budget + post-budget releases</x:v>
      </x:c>
      <x:c r="N14" s="30" t="str">
        <x:v>https://www.pib.gov.in/PressReleasePage.aspx?PRID=2236531&amp;lang=2&amp;reg=3</x:v>
      </x:c>
      <x:c r="O14" s="30" t="str">
        <x:v>2026-09-26</x:v>
      </x:c>
      <x:c r="P14" s="30" t="str">
        <x:v>SOURCE WORDING CONFLICT</x:v>
      </x:c>
    </x:row>
    <x:row r="15">
      <x:c r="A15" s="30" t="str">
        <x:v>E011</x:v>
      </x:c>
      <x:c r="B15" s="30" t="str">
        <x:v>MSDE share of announced caregiver programme</x:v>
      </x:c>
      <x:c r="C15" s="48" t="str">
        <x:v>REAL DATA</x:v>
      </x:c>
      <x:c r="D15" s="30" t="str">
        <x:v>S009/S010</x:v>
      </x:c>
      <x:c r="E15" s="30" t="str">
        <x:v>2026-07/08</x:v>
      </x:c>
      <x:c r="F15" s="30" t="str">
        <x:v>2026 programme</x:v>
      </x:c>
      <x:c r="G15" s="30" t="str">
        <x:v>Planned multiskilled caregivers</x:v>
      </x:c>
      <x:c r="H15" s="30" t="str">
        <x:v>India</x:v>
      </x:c>
      <x:c r="I15" s="44" t="n">
        <x:v>130000</x:v>
      </x:c>
      <x:c r="J15" s="30" t="str">
        <x:v>people through MSDE ecosystem</x:v>
      </x:c>
      <x:c r="K15" s="30" t="str">
        <x:v>Implementation context</x:v>
      </x:c>
      <x:c r="L15" s="30" t="str">
        <x:v>Target/programme capacity ≠ employed workforce</x:v>
      </x:c>
      <x:c r="M15" s="30" t="str">
        <x:v>PIB releases 2285084 and 2293795</x:v>
      </x:c>
      <x:c r="N15" s="30" t="str">
        <x:v>https://www.pib.gov.in/PressReleasePage.aspx?PRID=2293795&amp;lang=1&amp;reg=48</x:v>
      </x:c>
      <x:c r="O15" s="30" t="str">
        <x:v>2026-09-26</x:v>
      </x:c>
      <x:c r="P15" s="30" t="str">
        <x:v>VERIFIED</x:v>
      </x:c>
    </x:row>
    <x:row r="16">
      <x:c r="A16" s="30" t="str">
        <x:v>E012</x:v>
      </x:c>
      <x:c r="B16" s="30" t="str">
        <x:v>SHATAYU dashboard launch</x:v>
      </x:c>
      <x:c r="C16" s="48" t="str">
        <x:v>REAL DATA</x:v>
      </x:c>
      <x:c r="D16" s="30" t="str">
        <x:v>S008</x:v>
      </x:c>
      <x:c r="E16" s="30" t="str">
        <x:v>2026-05-22</x:v>
      </x:c>
      <x:c r="F16" s="30" t="str">
        <x:v>Current infrastructure as of launch</x:v>
      </x:c>
      <x:c r="G16" s="30" t="str">
        <x:v>Trained geriatric caregivers visible through dashboard</x:v>
      </x:c>
      <x:c r="H16" s="30" t="str">
        <x:v>India</x:v>
      </x:c>
      <x:c r="I16" s="30"/>
      <x:c r="J16" s="30" t="str">
        <x:v>Provides district/state information on caregiver availability; trained caregivers can register</x:v>
      </x:c>
      <x:c r="K16" s="30" t="str">
        <x:v>Registration/discoverability layer</x:v>
      </x:c>
      <x:c r="L16" s="30" t="str">
        <x:v>Registration or dashboard visibility ≠ employment, active capacity or utilization</x:v>
      </x:c>
      <x:c r="M16" s="30" t="str">
        <x:v>PIB release 2264053</x:v>
      </x:c>
      <x:c r="N16" s="30" t="str">
        <x:v>https://www.pib.gov.in/PressReleasePage.aspx?PRID=2264053&amp;lang=2&amp;reg=48</x:v>
      </x:c>
      <x:c r="O16" s="30" t="str">
        <x:v>2026-09-26</x:v>
      </x:c>
      <x:c r="P16" s="30" t="str">
        <x:v>VERIFIED</x:v>
      </x:c>
    </x:row>
    <x:row r="17">
      <x:c r="A17" s="30" t="str">
        <x:v>E013</x:v>
      </x:c>
      <x:c r="B17" s="30" t="str">
        <x:v>JEEVAN app launch</x:v>
      </x:c>
      <x:c r="C17" s="48" t="str">
        <x:v>REAL DATA</x:v>
      </x:c>
      <x:c r="D17" s="30" t="str">
        <x:v>S008</x:v>
      </x:c>
      <x:c r="E17" s="30" t="str">
        <x:v>2026-05-22</x:v>
      </x:c>
      <x:c r="F17" s="30" t="str">
        <x:v>Current infrastructure as of launch</x:v>
      </x:c>
      <x:c r="G17" s="30" t="str">
        <x:v>Senior citizens / support services</x:v>
      </x:c>
      <x:c r="H17" s="30" t="str">
        <x:v>India</x:v>
      </x:c>
      <x:c r="I17" s="30"/>
      <x:c r="J17" s="30" t="str">
        <x:v>Information on schemes, emergency assistance/support and senior citizen homes</x:v>
      </x:c>
      <x:c r="K17" s="30" t="str">
        <x:v>Existing ecosystem context</x:v>
      </x:c>
      <x:c r="L17" s="30" t="str">
        <x:v>Does not measure care-capacity conversion</x:v>
      </x:c>
      <x:c r="M17" s="30" t="str">
        <x:v>PIB release 2264053</x:v>
      </x:c>
      <x:c r="N17" s="30" t="str">
        <x:v>https://www.pib.gov.in/PressReleasePage.aspx?PRID=2264053&amp;lang=2&amp;reg=48</x:v>
      </x:c>
      <x:c r="O17" s="30" t="str">
        <x:v>2026-09-26</x:v>
      </x:c>
      <x:c r="P17" s="30" t="str">
        <x:v>VERIFIED</x:v>
      </x:c>
    </x:row>
    <x:row r="18">
      <x:c r="A18" s="30" t="str">
        <x:v>E014</x:v>
      </x:c>
      <x:c r="B18" s="30" t="str">
        <x:v>Maharashtra alone + spouse-only proxy</x:v>
      </x:c>
      <x:c r="C18" s="50" t="str">
        <x:v>DERIVED</x:v>
      </x:c>
      <x:c r="D18" s="30" t="str">
        <x:v>S002</x:v>
      </x:c>
      <x:c r="E18" s="30" t="str">
        <x:v>2020</x:v>
      </x:c>
      <x:c r="F18" s="30" t="str">
        <x:v>LASI Wave 1, 2017-18</x:v>
      </x:c>
      <x:c r="G18" s="30" t="str">
        <x:v>Adults age 60+</x:v>
      </x:c>
      <x:c r="H18" s="30" t="str">
        <x:v>Maharashtra</x:v>
      </x:c>
      <x:c r="I18" s="45" t="n">
        <x:f>'Derived Calculations'!J8</x:f>
        <x:v>0.22399999999999998</x:v>
      </x:c>
      <x:c r="J18" s="30" t="str">
        <x:v>%</x:v>
      </x:c>
      <x:c r="K18" s="30" t="str">
        <x:v>Household context</x:v>
      </x:c>
      <x:c r="L18" s="30" t="str">
        <x:v>Proxy only; not family care capacity</x:v>
      </x:c>
      <x:c r="M18" s="30" t="str">
        <x:v>Table 14.4 / formula in Derived Calculations</x:v>
      </x:c>
      <x:c r="N18" s="30" t="str">
        <x:v>https://www.iipsindia.ac.in/sites/default/files/LASI_India_Report_2020_compressed.pdf</x:v>
      </x:c>
      <x:c r="O18" s="30" t="str">
        <x:v>2026-09-26</x:v>
      </x:c>
      <x:c r="P18" s="30" t="str">
        <x:v>VERIFIED DERIVATION</x:v>
      </x:c>
    </x:row>
    <x:row r="19">
      <x:c r="A19" s="30" t="str">
        <x:v>E015</x:v>
      </x:c>
      <x:c r="B19" s="30" t="str">
        <x:v>Andhra Pradesh alone + spouse-only proxy</x:v>
      </x:c>
      <x:c r="C19" s="50" t="str">
        <x:v>DERIVED</x:v>
      </x:c>
      <x:c r="D19" s="30" t="str">
        <x:v>S002</x:v>
      </x:c>
      <x:c r="E19" s="30" t="str">
        <x:v>2020</x:v>
      </x:c>
      <x:c r="F19" s="30" t="str">
        <x:v>LASI Wave 1, 2017-18</x:v>
      </x:c>
      <x:c r="G19" s="30" t="str">
        <x:v>Adults age 60+</x:v>
      </x:c>
      <x:c r="H19" s="30" t="str">
        <x:v>Andhra Pradesh</x:v>
      </x:c>
      <x:c r="I19" s="45" t="n">
        <x:f>'Derived Calculations'!J6</x:f>
        <x:v>0.42500000000000004</x:v>
      </x:c>
      <x:c r="J19" s="30" t="str">
        <x:v>%</x:v>
      </x:c>
      <x:c r="K19" s="30" t="str">
        <x:v>Household context</x:v>
      </x:c>
      <x:c r="L19" s="30" t="str">
        <x:v>Proxy only; not family care capacity</x:v>
      </x:c>
      <x:c r="M19" s="30" t="str">
        <x:v>Table 14.4 / formula in Derived Calculations</x:v>
      </x:c>
      <x:c r="N19" s="30" t="str">
        <x:v>https://www.iipsindia.ac.in/sites/default/files/LASI_India_Report_2020_compressed.pdf</x:v>
      </x:c>
      <x:c r="O19" s="30" t="str">
        <x:v>2026-09-26</x:v>
      </x:c>
      <x:c r="P19" s="30" t="str">
        <x:v>VERIFIED DERIVATION</x:v>
      </x:c>
    </x:row>
    <x:row r="20">
      <x:c r="A20" s="30" t="str">
        <x:v>E016</x:v>
      </x:c>
      <x:c r="B20" s="30" t="str">
        <x:v>Gujarat alone + spouse-only proxy</x:v>
      </x:c>
      <x:c r="C20" s="50" t="str">
        <x:v>DERIVED</x:v>
      </x:c>
      <x:c r="D20" s="30" t="str">
        <x:v>S002</x:v>
      </x:c>
      <x:c r="E20" s="30" t="str">
        <x:v>2020</x:v>
      </x:c>
      <x:c r="F20" s="30" t="str">
        <x:v>LASI Wave 1, 2017-18</x:v>
      </x:c>
      <x:c r="G20" s="30" t="str">
        <x:v>Adults age 60+</x:v>
      </x:c>
      <x:c r="H20" s="30" t="str">
        <x:v>Gujarat</x:v>
      </x:c>
      <x:c r="I20" s="45" t="n">
        <x:f>'Derived Calculations'!J7</x:f>
        <x:v>0.248</x:v>
      </x:c>
      <x:c r="J20" s="30" t="str">
        <x:v>%</x:v>
      </x:c>
      <x:c r="K20" s="30" t="str">
        <x:v>Household context</x:v>
      </x:c>
      <x:c r="L20" s="30" t="str">
        <x:v>Proxy only; not family care capacity</x:v>
      </x:c>
      <x:c r="M20" s="30" t="str">
        <x:v>Table 14.4 / formula in Derived Calculations</x:v>
      </x:c>
      <x:c r="N20" s="30" t="str">
        <x:v>https://www.iipsindia.ac.in/sites/default/files/LASI_India_Report_2020_compressed.pdf</x:v>
      </x:c>
      <x:c r="O20" s="30" t="str">
        <x:v>2026-09-26</x:v>
      </x:c>
      <x:c r="P20" s="30" t="str">
        <x:v>VERIFIED DERIVATION</x:v>
      </x:c>
    </x:row>
    <x:row r="21">
      <x:c r="A21" s="30" t="str">
        <x:v>E017</x:v>
      </x:c>
      <x:c r="B21" s="30" t="str">
        <x:v>Tamil Nadu alone + spouse-only proxy</x:v>
      </x:c>
      <x:c r="C21" s="50" t="str">
        <x:v>DERIVED</x:v>
      </x:c>
      <x:c r="D21" s="30" t="str">
        <x:v>S002</x:v>
      </x:c>
      <x:c r="E21" s="30" t="str">
        <x:v>2020</x:v>
      </x:c>
      <x:c r="F21" s="30" t="str">
        <x:v>LASI Wave 1, 2017-18</x:v>
      </x:c>
      <x:c r="G21" s="30" t="str">
        <x:v>Adults age 60+</x:v>
      </x:c>
      <x:c r="H21" s="30" t="str">
        <x:v>Tamil Nadu</x:v>
      </x:c>
      <x:c r="I21" s="45" t="n">
        <x:f>'Derived Calculations'!J9</x:f>
        <x:v>0.406</x:v>
      </x:c>
      <x:c r="J21" s="30" t="str">
        <x:v>%</x:v>
      </x:c>
      <x:c r="K21" s="30" t="str">
        <x:v>Household context</x:v>
      </x:c>
      <x:c r="L21" s="30" t="str">
        <x:v>Proxy only; not family care capacity</x:v>
      </x:c>
      <x:c r="M21" s="30" t="str">
        <x:v>Table 14.4 / formula in Derived Calculations</x:v>
      </x:c>
      <x:c r="N21" s="30" t="str">
        <x:v>https://www.iipsindia.ac.in/sites/default/files/LASI_India_Report_2020_compressed.pdf</x:v>
      </x:c>
      <x:c r="O21" s="30" t="str">
        <x:v>2026-09-26</x:v>
      </x:c>
      <x:c r="P21" s="30" t="str">
        <x:v>VERIFIED DERIVATION</x:v>
      </x:c>
    </x:row>
    <x:row r="22">
      <x:c r="A22" s="30" t="str">
        <x:v>E018</x:v>
      </x:c>
      <x:c r="B22" s="30" t="str">
        <x:v>Telangana alone + spouse-only proxy</x:v>
      </x:c>
      <x:c r="C22" s="50" t="str">
        <x:v>DERIVED</x:v>
      </x:c>
      <x:c r="D22" s="30" t="str">
        <x:v>S002</x:v>
      </x:c>
      <x:c r="E22" s="30" t="str">
        <x:v>2020</x:v>
      </x:c>
      <x:c r="F22" s="30" t="str">
        <x:v>LASI Wave 1, 2017-18</x:v>
      </x:c>
      <x:c r="G22" s="30" t="str">
        <x:v>Adults age 60+</x:v>
      </x:c>
      <x:c r="H22" s="30" t="str">
        <x:v>Telangana</x:v>
      </x:c>
      <x:c r="I22" s="45" t="n">
        <x:f>'Derived Calculations'!J10</x:f>
        <x:v>0.417</x:v>
      </x:c>
      <x:c r="J22" s="30" t="str">
        <x:v>%</x:v>
      </x:c>
      <x:c r="K22" s="30" t="str">
        <x:v>Household context</x:v>
      </x:c>
      <x:c r="L22" s="30" t="str">
        <x:v>Proxy only; not family care capacity</x:v>
      </x:c>
      <x:c r="M22" s="30" t="str">
        <x:v>Table 14.4 / formula in Derived Calculations</x:v>
      </x:c>
      <x:c r="N22" s="30" t="str">
        <x:v>https://www.iipsindia.ac.in/sites/default/files/LASI_India_Report_2020_compressed.pdf</x:v>
      </x:c>
      <x:c r="O22" s="30" t="str">
        <x:v>2026-09-26</x:v>
      </x:c>
      <x:c r="P22" s="30" t="str">
        <x:v>VERIFIED DERIVATION</x:v>
      </x:c>
    </x:row>
    <x:row r="23">
      <x:c r="A23" s="30" t="str">
        <x:v>E019</x:v>
      </x:c>
      <x:c r="B23" s="30" t="str">
        <x:v>Top-3 share of reported PM-SPECIAL trainees (MP + UP + Maharashtra)</x:v>
      </x:c>
      <x:c r="C23" s="50" t="str">
        <x:v>DERIVED</x:v>
      </x:c>
      <x:c r="D23" s="30" t="str">
        <x:v>S004</x:v>
      </x:c>
      <x:c r="E23" s="30" t="str">
        <x:v>2025-03-18</x:v>
      </x:c>
      <x:c r="F23" s="30" t="str">
        <x:v>FY2023-24</x:v>
      </x:c>
      <x:c r="G23" s="30" t="str">
        <x:v>PM-SPECIAL trainees</x:v>
      </x:c>
      <x:c r="H23" s="30" t="str">
        <x:v>India</x:v>
      </x:c>
      <x:c r="I23" s="45" t="n">
        <x:f>'Derived Calculations'!C24</x:f>
        <x:v>0.69049884463776</x:v>
      </x:c>
      <x:c r="J23" s="30" t="str">
        <x:v>%</x:v>
      </x:c>
      <x:c r="K23" s="30" t="str">
        <x:v>Shows concentration of reported training activity</x:v>
      </x:c>
      <x:c r="L23" s="30" t="str">
        <x:v>Not a demand map, intervention ranking or workforce-availability measure</x:v>
      </x:c>
      <x:c r="M23" s="30" t="str">
        <x:v>PIB state table / formula in Derived Calculations</x:v>
      </x:c>
      <x:c r="N23" s="30" t="str">
        <x:v>https://www.pib.gov.in/PressReleasePage.aspx?PRID=2112161&amp;lang=2&amp;reg=48</x:v>
      </x:c>
      <x:c r="O23" s="30" t="str">
        <x:v>2026-09-26</x:v>
      </x:c>
      <x:c r="P23" s="30" t="str">
        <x:v>VERIFIED DERIVATION</x:v>
      </x:c>
    </x:row>
    <x:row r="24">
      <x:c r="A24" s="30" t="str">
        <x:v>E020</x:v>
      </x:c>
      <x:c r="B24" s="30" t="str">
        <x:v>Current national training→employment conversion</x:v>
      </x:c>
      <x:c r="C24" s="52" t="str">
        <x:v>DATA GAP</x:v>
      </x:c>
      <x:c r="D24" s="30" t="str"/>
      <x:c r="E24" s="30" t="str"/>
      <x:c r="F24" s="30" t="str"/>
      <x:c r="G24" s="30" t="str">
        <x:v>PM-SPECIAL / geriatric caregiver cohorts</x:v>
      </x:c>
      <x:c r="H24" s="30" t="str">
        <x:v>India</x:v>
      </x:c>
      <x:c r="I24" s="30"/>
      <x:c r="J24" s="30" t="str">
        <x:v>No national conversion rate established in reviewed evidence</x:v>
      </x:c>
      <x:c r="K24" s="30" t="str">
        <x:v>Core conversion question</x:v>
      </x:c>
      <x:c r="L24" s="30" t="str">
        <x:v>Do not infer from training counts</x:v>
      </x:c>
      <x:c r="M24" s="30" t="str">
        <x:v>Evidence audit / research backlog</x:v>
      </x:c>
      <x:c r="N24" s="30" t="str"/>
      <x:c r="O24" s="30" t="str">
        <x:v>2026-09-26</x:v>
      </x:c>
      <x:c r="P24" s="30" t="str">
        <x:v>OPEN DATA GAP</x:v>
      </x:c>
    </x:row>
    <x:row r="25">
      <x:c r="A25" s="30" t="str">
        <x:v>E021</x:v>
      </x:c>
      <x:c r="B25" s="30" t="str">
        <x:v>Current national active caregiver availability</x:v>
      </x:c>
      <x:c r="C25" s="52" t="str">
        <x:v>DATA GAP</x:v>
      </x:c>
      <x:c r="D25" s="30" t="str"/>
      <x:c r="E25" s="30" t="str"/>
      <x:c r="F25" s="30" t="str"/>
      <x:c r="G25" s="30" t="str">
        <x:v>Active caregivers</x:v>
      </x:c>
      <x:c r="H25" s="30" t="str">
        <x:v>India</x:v>
      </x:c>
      <x:c r="I25" s="30"/>
      <x:c r="J25" s="30" t="str">
        <x:v>Not established by training or registration data alone</x:v>
      </x:c>
      <x:c r="K25" s="30" t="str">
        <x:v>Usable care-capacity question</x:v>
      </x:c>
      <x:c r="L25" s="30" t="str">
        <x:v>Requires active availability, geography and hours/capacity</x:v>
      </x:c>
      <x:c r="M25" s="30" t="str">
        <x:v>Evidence audit / research backlog</x:v>
      </x:c>
      <x:c r="N25" s="30" t="str"/>
      <x:c r="O25" s="30" t="str">
        <x:v>2026-09-26</x:v>
      </x:c>
      <x:c r="P25" s="30" t="str">
        <x:v>OPEN DATA GAP</x:v>
      </x:c>
    </x:row>
    <x:row r="26">
      <x:c r="A26" s="30" t="str">
        <x:v>E022</x:v>
      </x:c>
      <x:c r="B26" s="30" t="str">
        <x:v>Current national paid-care conversion / utilization rate</x:v>
      </x:c>
      <x:c r="C26" s="52" t="str">
        <x:v>DATA GAP</x:v>
      </x:c>
      <x:c r="D26" s="30" t="str"/>
      <x:c r="E26" s="30" t="str"/>
      <x:c r="F26" s="30" t="str"/>
      <x:c r="G26" s="30" t="str">
        <x:v>People with care need / formal care users</x:v>
      </x:c>
      <x:c r="H26" s="30" t="str">
        <x:v>India</x:v>
      </x:c>
      <x:c r="I26" s="30"/>
      <x:c r="J26" s="30" t="str">
        <x:v>Not established</x:v>
      </x:c>
      <x:c r="K26" s="30" t="str">
        <x:v>Demand/use question</x:v>
      </x:c>
      <x:c r="L26" s="30" t="str">
        <x:v>Functional limitation ≠ paid-care demand</x:v>
      </x:c>
      <x:c r="M26" s="30" t="str">
        <x:v>LASI microdata plan</x:v>
      </x:c>
      <x:c r="N26" s="30" t="str"/>
      <x:c r="O26" s="30" t="str">
        <x:v>2026-09-26</x:v>
      </x:c>
      <x:c r="P26" s="30" t="str">
        <x:v>OPEN DATA GAP</x:v>
      </x:c>
    </x:row>
  </x:sheetData>
  <x:mergeCells>
    <x:mergeCell ref="A1:P1"/>
    <x:mergeCell ref="A2:P2"/>
  </x:mergeCells>
  <x:dataValidations count="1">
    <x:dataValidation type="list" sqref="C5:C40">
      <x:formula1>"REAL DATA,DERIVED,HYPOTHESIS,DATA GAP"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632442b24747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8" hidden="0" customWidth="1"/>
    <x:col min="5" max="5" width="42" hidden="0" customWidth="1"/>
    <x:col min="6" max="6" width="38" hidden="0" customWidth="1"/>
    <x:col min="7" max="7" width="22" hidden="0" customWidth="1"/>
  </x:cols>
  <x:sheetData>
    <x:row r="1" ht="30" customHeight="1">
      <x:c r="A1" s="28" t="str">
        <x:v>Care-Capacity Conversion Framework</x:v>
      </x:c>
      <x:c r="B1" s="28"/>
      <x:c r="C1" s="28"/>
      <x:c r="D1" s="28"/>
      <x:c r="E1" s="28"/>
      <x:c r="F1" s="28"/>
      <x:c r="G1" s="28"/>
    </x:row>
    <x:row r="2" ht="34" customHeight="1">
      <x:c r="A2" s="29" t="str">
        <x:v>Analytical framework developed for this project. It is not a proven universal national workflow, and not every care pathway passes through every stage.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31" t="str">
        <x:v>Stage</x:v>
      </x:c>
      <x:c r="B4" s="31" t="str">
        <x:v>Working meaning</x:v>
      </x:c>
      <x:c r="C4" s="31" t="str">
        <x:v>Current observable evidence</x:v>
      </x:c>
      <x:c r="D4" s="31" t="str">
        <x:v>What the evidence can support</x:v>
      </x:c>
      <x:c r="E4" s="31" t="str">
        <x:v>What it cannot establish</x:v>
      </x:c>
      <x:c r="F4" s="31" t="str">
        <x:v>Key next evidence</x:v>
      </x:c>
      <x:c r="G4" s="31" t="str">
        <x:v>Portfolio status</x:v>
      </x:c>
    </x:row>
    <x:row r="5">
      <x:c r="A5" s="30" t="str">
        <x:v>CARE NEED</x:v>
      </x:c>
      <x:c r="B5" s="30" t="str">
        <x:v>Potential need for assistance with daily functioning</x:v>
      </x:c>
      <x:c r="C5" s="30" t="str">
        <x:v>LASI ADL/IADL and related measures</x:v>
      </x:c>
      <x:c r="D5" s="30" t="str">
        <x:v>Functional limitations exist and can be measured</x:v>
      </x:c>
      <x:c r="E5" s="30" t="str">
        <x:v>Paid-care demand or preferred care model</x:v>
      </x:c>
      <x:c r="F5" s="30" t="str">
        <x:v>Current/linked need and assistance data</x:v>
      </x:c>
      <x:c r="G5" s="30" t="str">
        <x:v>REAL DATA + interpretation</x:v>
      </x:c>
    </x:row>
    <x:row r="6">
      <x:c r="A6" s="30" t="str">
        <x:v>FAMILY CAPACITY</x:v>
      </x:c>
      <x:c r="B6" s="30" t="str">
        <x:v>Informal support potentially available around the person</x:v>
      </x:c>
      <x:c r="C6" s="30" t="str">
        <x:v>Living arrangements; helper variables in LASI</x:v>
      </x:c>
      <x:c r="D6" s="30" t="str">
        <x:v>Household context and, with microdata, observed helper relationships</x:v>
      </x:c>
      <x:c r="E6" s="30" t="str">
        <x:v>Time, willingness, skill or actual family availability from living arrangement alone</x:v>
      </x:c>
      <x:c r="F6" s="30" t="str">
        <x:v>Helper type, hours, burden, availability</x:v>
      </x:c>
      <x:c r="G6" s="30" t="str">
        <x:v>PARTIAL / historical</x:v>
      </x:c>
    </x:row>
    <x:row r="7">
      <x:c r="A7" s="30" t="str">
        <x:v>FORMAL SUPPORT</x:v>
      </x:c>
      <x:c r="B7" s="30" t="str">
        <x:v>Organised services and programmes available around the care journey</x:v>
      </x:c>
      <x:c r="C7" s="30" t="str">
        <x:v>Government programmes; organised providers</x:v>
      </x:c>
      <x:c r="D7" s="30" t="str">
        <x:v>Formal-support ecosystem exists</x:v>
      </x:c>
      <x:c r="E7" s="30" t="str">
        <x:v>How much of national need is covered</x:v>
      </x:c>
      <x:c r="F7" s="30" t="str">
        <x:v>Service capacity, coverage, referrals</x:v>
      </x:c>
      <x:c r="G7" s="30" t="str">
        <x:v>PARTIAL</x:v>
      </x:c>
    </x:row>
    <x:row r="8">
      <x:c r="A8" s="30" t="str">
        <x:v>WORKFORCE PIPELINE</x:v>
      </x:c>
      <x:c r="B8" s="30" t="str">
        <x:v>People entering caregiver training / skill development</x:v>
      </x:c>
      <x:c r="C8" s="30" t="str">
        <x:v>PM-SPECIAL; PMKVY/MSDE programmes</x:v>
      </x:c>
      <x:c r="D8" s="30" t="str">
        <x:v>Training activity and planned scale</x:v>
      </x:c>
      <x:c r="E8" s="30" t="str">
        <x:v>Active caregiver supply</x:v>
      </x:c>
      <x:c r="F8" s="30" t="str">
        <x:v>Completion, placement, cohort tracking</x:v>
      </x:c>
      <x:c r="G8" s="30" t="str">
        <x:v>REAL DATA</x:v>
      </x:c>
    </x:row>
    <x:row r="9">
      <x:c r="A9" s="30" t="str">
        <x:v>REGISTRATION / DISCOVERABILITY</x:v>
      </x:c>
      <x:c r="B9" s="30" t="str">
        <x:v>Caregivers visible through a registry/platform</x:v>
      </x:c>
      <x:c r="C9" s="30" t="str">
        <x:v>SHATAYU infrastructure</x:v>
      </x:c>
      <x:c r="D9" s="30" t="str">
        <x:v>Registration/discoverability mechanisms exist</x:v>
      </x:c>
      <x:c r="E9" s="30" t="str">
        <x:v>Employment, hours, availability or utilization</x:v>
      </x:c>
      <x:c r="F9" s="30" t="str">
        <x:v>Registry counts; active status; geography</x:v>
      </x:c>
      <x:c r="G9" s="30" t="str">
        <x:v>PARTIAL</x:v>
      </x:c>
    </x:row>
    <x:row r="10">
      <x:c r="A10" s="30" t="str">
        <x:v>EMPLOYMENT</x:v>
      </x:c>
      <x:c r="B10" s="30" t="str">
        <x:v>People actually working in care</x:v>
      </x:c>
      <x:c r="C10" s="30" t="str">
        <x:v>No national linked cohort measure in current evidence base</x:v>
      </x:c>
      <x:c r="D10" s="30" t="str">
        <x:v>Nothing national can be inferred reliably from training alone</x:v>
      </x:c>
      <x:c r="E10" s="30" t="str">
        <x:v>Training-to-employment conversion</x:v>
      </x:c>
      <x:c r="F10" s="30" t="str">
        <x:v>Placement/employment records</x:v>
      </x:c>
      <x:c r="G10" s="30" t="str">
        <x:v>DATA GAP</x:v>
      </x:c>
    </x:row>
    <x:row r="11">
      <x:c r="A11" s="30" t="str">
        <x:v>AVAILABILITY</x:v>
      </x:c>
      <x:c r="B11" s="30" t="str">
        <x:v>Ability to accept work where/when needed</x:v>
      </x:c>
      <x:c r="C11" s="30" t="str">
        <x:v>No national active-capacity measure in current evidence base</x:v>
      </x:c>
      <x:c r="D11" s="30" t="str">
        <x:v>Question can be specified</x:v>
      </x:c>
      <x:c r="E11" s="30" t="str">
        <x:v>Usable local capacity</x:v>
      </x:c>
      <x:c r="F11" s="30" t="str">
        <x:v>Active status, hours, location, care type</x:v>
      </x:c>
      <x:c r="G11" s="30" t="str">
        <x:v>DATA GAP</x:v>
      </x:c>
    </x:row>
    <x:row r="12">
      <x:c r="A12" s="30" t="str">
        <x:v>AFFORDABILITY &amp; ACCESS</x:v>
      </x:c>
      <x:c r="B12" s="30" t="str">
        <x:v>Whether appropriate care can be reached and paid for</x:v>
      </x:c>
      <x:c r="C12" s="30" t="str">
        <x:v>Policy/economic context; provider prices are fragmented</x:v>
      </x:c>
      <x:c r="D12" s="30" t="str">
        <x:v>Potential constraints can be hypothesised</x:v>
      </x:c>
      <x:c r="E12" s="30" t="str">
        <x:v>National unmet access/affordability magnitude</x:v>
      </x:c>
      <x:c r="F12" s="30" t="str">
        <x:v>Prices, financing, household resources, awareness, matching</x:v>
      </x:c>
      <x:c r="G12" s="30" t="str">
        <x:v>PARTIAL / DATA GAP</x:v>
      </x:c>
    </x:row>
    <x:row r="13">
      <x:c r="A13" s="30" t="str">
        <x:v>UTILIZATION</x:v>
      </x:c>
      <x:c r="B13" s="30" t="str">
        <x:v>Care relationship actually occurs / service is delivered</x:v>
      </x:c>
      <x:c r="C13" s="30" t="str">
        <x:v>No national care-capacity utilization measure in current evidence base</x:v>
      </x:c>
      <x:c r="D13" s="30" t="str">
        <x:v>Need for a delivery metric is clear</x:v>
      </x:c>
      <x:c r="E13" s="30" t="str">
        <x:v>Paid-care conversion or delivered care volume nationally</x:v>
      </x:c>
      <x:c r="F13" s="30" t="str">
        <x:v>Clients, visits, hours, repeat use</x:v>
      </x:c>
      <x:c r="G13" s="30" t="str">
        <x:v>DATA GAP</x:v>
      </x:c>
    </x:row>
    <x:row r="14">
      <x:c r="A14" s="30" t="str">
        <x:v>RETENTION</x:v>
      </x:c>
      <x:c r="B14" s="30" t="str">
        <x:v>Caregiver remains active over a defined period</x:v>
      </x:c>
      <x:c r="C14" s="30" t="str">
        <x:v>Policy/workforce concerns; no national cohort measure</x:v>
      </x:c>
      <x:c r="D14" s="30" t="str">
        <x:v>Retention should be measured separately from entry</x:v>
      </x:c>
      <x:c r="E14" s="30" t="str">
        <x:v>National attrition rate</x:v>
      </x:c>
      <x:c r="F14" s="30" t="str">
        <x:v>Turnover, tenure, exit reasons</x:v>
      </x:c>
      <x:c r="G14" s="30" t="str">
        <x:v>DATA GAP</x:v>
      </x:c>
    </x:row>
    <x:row r="15">
      <x:c r="A15" s="30" t="str">
        <x:v>QUALITY</x:v>
      </x:c>
      <x:c r="B15" s="30" t="str">
        <x:v>Care is reliable, appropriate and safe</x:v>
      </x:c>
      <x:c r="C15" s="30" t="str">
        <x:v>Standards/policy signals; provider-specific evidence</x:v>
      </x:c>
      <x:c r="D15" s="30" t="str">
        <x:v>Quality is distinct from quantity</x:v>
      </x:c>
      <x:c r="E15" s="30" t="str">
        <x:v>National quality outcome</x:v>
      </x:c>
      <x:c r="F15" s="30" t="str">
        <x:v>Certification, supervision, complaints, outcomes</x:v>
      </x:c>
      <x:c r="G15" s="30" t="str">
        <x:v>DATA GAP / policy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19faefdd54844a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16" hidden="0" customWidth="1"/>
    <x:col min="4" max="4" width="18" hidden="0" customWidth="1"/>
    <x:col min="5" max="5" width="15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6" hidden="0" customWidth="1"/>
    <x:col min="11" max="11" width="22" hidden="0" customWidth="1"/>
    <x:col min="12" max="12" width="54" hidden="0" customWidth="1"/>
    <x:col min="13" max="13" width="46" hidden="0" customWidth="1"/>
  </x:cols>
  <x:sheetData>
    <x:row r="1" ht="30" customHeight="1">
      <x:c r="A1" s="28" t="str">
        <x:v>Evidence Compatibility Gate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 ht="34" customHeight="1">
      <x:c r="A2" s="29" t="str">
        <x:v>Before KAALJI permits a cross-source signal, the comparison must pass explicit checks. A blocked comparison is a valid product output.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31" t="str">
        <x:v>ID</x:v>
      </x:c>
      <x:c r="B4" s="31" t="str">
        <x:v>Proposed comparison</x:v>
      </x:c>
      <x:c r="C4" s="31" t="str">
        <x:v>Source A</x:v>
      </x:c>
      <x:c r="D4" s="31" t="str">
        <x:v>Source B</x:v>
      </x:c>
      <x:c r="E4" s="31" t="str">
        <x:v>Same geography?</x:v>
      </x:c>
      <x:c r="F4" s="31" t="str">
        <x:v>Aligned period?</x:v>
      </x:c>
      <x:c r="G4" s="31" t="str">
        <x:v>Comparable population?</x:v>
      </x:c>
      <x:c r="H4" s="31" t="str">
        <x:v>Comparable definition?</x:v>
      </x:c>
      <x:c r="I4" s="31" t="str">
        <x:v>Stock / flow compatible?</x:v>
      </x:c>
      <x:c r="J4" s="31" t="str">
        <x:v>Availability of both measures</x:v>
      </x:c>
      <x:c r="K4" s="31" t="str">
        <x:v>Compatibility result</x:v>
      </x:c>
      <x:c r="L4" s="31" t="str">
        <x:v>Reason</x:v>
      </x:c>
      <x:c r="M4" s="31" t="str">
        <x:v>Product action</x:v>
      </x:c>
    </x:row>
    <x:row r="5">
      <x:c r="A5" s="30" t="str">
        <x:v>C001</x:v>
      </x:c>
      <x:c r="B5" s="30" t="str">
        <x:v>LASI functional need vs PM-SPECIAL training volume</x:v>
      </x:c>
      <x:c r="C5" s="30" t="str">
        <x:v>S002</x:v>
      </x:c>
      <x:c r="D5" s="30" t="str">
        <x:v>S004</x:v>
      </x:c>
      <x:c r="E5" s="30" t="str">
        <x:v>YES</x:v>
      </x:c>
      <x:c r="F5" s="30" t="str">
        <x:v>NO</x:v>
      </x:c>
      <x:c r="G5" s="30" t="str">
        <x:v>NO</x:v>
      </x:c>
      <x:c r="H5" s="30" t="str">
        <x:v>NO</x:v>
      </x:c>
      <x:c r="I5" s="30" t="str">
        <x:v>NO</x:v>
      </x:c>
      <x:c r="J5" s="30" t="str">
        <x:v>YES</x:v>
      </x:c>
      <x:c r="K5" s="50" t="str">
        <x:v>CONTEXT ONLY</x:v>
      </x:c>
      <x:c r="L5" s="30" t="str">
        <x:v>Historical functional need and later training throughput describe different populations, constructs and periods.</x:v>
      </x:c>
      <x:c r="M5" s="30" t="str">
        <x:v>Do not calculate a shortage or conversion ratio.</x:v>
      </x:c>
    </x:row>
    <x:row r="6">
      <x:c r="A6" s="30" t="str">
        <x:v>C002</x:v>
      </x:c>
      <x:c r="B6" s="30" t="str">
        <x:v>PM-SPECIAL trainees vs current SHATAYU registered caregivers</x:v>
      </x:c>
      <x:c r="C6" s="30" t="str">
        <x:v>S004</x:v>
      </x:c>
      <x:c r="D6" s="30" t="str">
        <x:v>S008</x:v>
      </x:c>
      <x:c r="E6" s="30" t="str">
        <x:v>POTENTIALLY</x:v>
      </x:c>
      <x:c r="F6" s="30" t="str">
        <x:v>NO / depends on registry date</x:v>
      </x:c>
      <x:c r="G6" s="30" t="str">
        <x:v>POTENTIALLY</x:v>
      </x:c>
      <x:c r="H6" s="30" t="str">
        <x:v>NO</x:v>
      </x:c>
      <x:c r="I6" s="30" t="str">
        <x:v>FLOW vs STOCK</x:v>
      </x:c>
      <x:c r="J6" s="30" t="str">
        <x:v>NO current registry count in evidence base</x:v>
      </x:c>
      <x:c r="K6" s="50" t="str">
        <x:v>BLOCKED</x:v>
      </x:c>
      <x:c r="L6" s="30" t="str">
        <x:v>Training cohort data exist; comparable registration count/denominator is missing.</x:v>
      </x:c>
      <x:c r="M6" s="30" t="str">
        <x:v>Request cohort/date-aligned registration data before comparing.</x:v>
      </x:c>
    </x:row>
    <x:row r="7">
      <x:c r="A7" s="30" t="str">
        <x:v>C003</x:v>
      </x:c>
      <x:c r="B7" s="30" t="str">
        <x:v>State training counts vs state living-arrangement proxy</x:v>
      </x:c>
      <x:c r="C7" s="30" t="str">
        <x:v>S004</x:v>
      </x:c>
      <x:c r="D7" s="30" t="str">
        <x:v>S002</x:v>
      </x:c>
      <x:c r="E7" s="30" t="str">
        <x:v>YES</x:v>
      </x:c>
      <x:c r="F7" s="30" t="str">
        <x:v>NO</x:v>
      </x:c>
      <x:c r="G7" s="30" t="str">
        <x:v>NO</x:v>
      </x:c>
      <x:c r="H7" s="30" t="str">
        <x:v>NO</x:v>
      </x:c>
      <x:c r="I7" s="30" t="str">
        <x:v>NO</x:v>
      </x:c>
      <x:c r="J7" s="30" t="str">
        <x:v>YES</x:v>
      </x:c>
      <x:c r="K7" s="50" t="str">
        <x:v>NOT COMPARABLE</x:v>
      </x:c>
      <x:c r="L7" s="30" t="str">
        <x:v>Same state label does not make training throughput and household context commensurable.</x:v>
      </x:c>
      <x:c r="M7" s="30" t="str">
        <x:v>Use side-by-side context only; no gap score/ranking.</x:v>
      </x:c>
    </x:row>
    <x:row r="8">
      <x:c r="A8" s="30" t="str">
        <x:v>C004</x:v>
      </x:c>
      <x:c r="B8" s="30" t="str">
        <x:v>1.5 lakh caregiver target across official 2026 releases</x:v>
      </x:c>
      <x:c r="C8" s="30" t="str">
        <x:v>S005/S006</x:v>
      </x:c>
      <x:c r="D8" s="30" t="str">
        <x:v>S007/S009/S010</x:v>
      </x:c>
      <x:c r="E8" s="30" t="str">
        <x:v>YES</x:v>
      </x:c>
      <x:c r="F8" s="30" t="str">
        <x:v>PARTIAL</x:v>
      </x:c>
      <x:c r="G8" s="30" t="str">
        <x:v>YES</x:v>
      </x:c>
      <x:c r="H8" s="30" t="str">
        <x:v>MOSTLY</x:v>
      </x:c>
      <x:c r="I8" s="30" t="str">
        <x:v>TARGET</x:v>
      </x:c>
      <x:c r="J8" s="30" t="str">
        <x:v>YES</x:v>
      </x:c>
      <x:c r="K8" s="50" t="str">
        <x:v>SOURCE WORDING CONFLICT</x:v>
      </x:c>
      <x:c r="L8" s="30" t="str">
        <x:v>Official materials agree on the 1.5 lakh scale but use inconsistent horizon wording: 'coming years', 'coming year', and one backgrounder says 'next five years'.</x:v>
      </x:c>
      <x:c r="M8" s="30" t="str">
        <x:v>Cite source-specific wording; do not create a clean annual trend from the target.</x:v>
      </x:c>
    </x:row>
    <x:row r="9">
      <x:c r="A9" s="30" t="str">
        <x:v>C005</x:v>
      </x:c>
      <x:c r="B9" s="30" t="str">
        <x:v>Living alone / spouse-only vs family care capacity</x:v>
      </x:c>
      <x:c r="C9" s="30" t="str">
        <x:v>S002</x:v>
      </x:c>
      <x:c r="D9" s="30" t="str"/>
      <x:c r="E9" s="30" t="str">
        <x:v>YES</x:v>
      </x:c>
      <x:c r="F9" s="30" t="str">
        <x:v>YES</x:v>
      </x:c>
      <x:c r="G9" s="30" t="str">
        <x:v>YES</x:v>
      </x:c>
      <x:c r="H9" s="30" t="str">
        <x:v>NO</x:v>
      </x:c>
      <x:c r="I9" s="30" t="str">
        <x:v>N/A</x:v>
      </x:c>
      <x:c r="J9" s="30" t="str">
        <x:v>YES</x:v>
      </x:c>
      <x:c r="K9" s="50" t="str">
        <x:v>PROXY ONLY</x:v>
      </x:c>
      <x:c r="L9" s="30" t="str">
        <x:v>Living arrangement is observable; time, willingness, health and skill of family caregivers are not captured by the proxy.</x:v>
      </x:c>
      <x:c r="M9" s="30" t="str">
        <x:v>Label as context, never as measured family capacity.</x:v>
      </x:c>
    </x:row>
    <x:row r="10">
      <x:c r="A10" s="30" t="str">
        <x:v>C006</x:v>
      </x:c>
      <x:c r="B10" s="30" t="str">
        <x:v>SHATAYU registration/discoverability vs active caregiver availability</x:v>
      </x:c>
      <x:c r="C10" s="30" t="str">
        <x:v>S008</x:v>
      </x:c>
      <x:c r="D10" s="30" t="str"/>
      <x:c r="E10" s="30" t="str">
        <x:v>YES</x:v>
      </x:c>
      <x:c r="F10" s="30" t="str">
        <x:v>CURRENT</x:v>
      </x:c>
      <x:c r="G10" s="30" t="str">
        <x:v>UNKNOWN</x:v>
      </x:c>
      <x:c r="H10" s="30" t="str">
        <x:v>NO</x:v>
      </x:c>
      <x:c r="I10" s="30" t="str">
        <x:v>STOCK / ACTIVE CAPACITY</x:v>
      </x:c>
      <x:c r="J10" s="30" t="str">
        <x:v>PARTIAL</x:v>
      </x:c>
      <x:c r="K10" s="50" t="str">
        <x:v>NOT EQUIVALENT</x:v>
      </x:c>
      <x:c r="L10" s="30" t="str">
        <x:v>Being registered/discoverable does not establish active hours, willingness, service type or current employment.</x:v>
      </x:c>
      <x:c r="M10" s="30" t="str">
        <x:v>Keep registration and active availability as separate stages.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319330af2ba948a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38" hidden="0" customWidth="1"/>
    <x:col min="4" max="4" width="48" hidden="0" customWidth="1"/>
    <x:col min="5" max="5" width="44" hidden="0" customWidth="1"/>
    <x:col min="6" max="6" width="48" hidden="0" customWidth="1"/>
    <x:col min="7" max="7" width="22" hidden="0" customWidth="1"/>
  </x:cols>
  <x:sheetData>
    <x:row r="1" ht="30" customHeight="1">
      <x:c r="A1" s="28" t="str">
        <x:v>Diagnostic Hypotheses &amp; Tests</x:v>
      </x:c>
      <x:c r="B1" s="28"/>
      <x:c r="C1" s="28"/>
      <x:c r="D1" s="28"/>
      <x:c r="E1" s="28"/>
      <x:c r="F1" s="28"/>
      <x:c r="G1" s="28"/>
    </x:row>
    <x:row r="2" ht="34" customHeight="1">
      <x:c r="A2" s="29" t="str">
        <x:v>These are competing explanations generated by the framework. None is a national finding until tested with appropriate evidence.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31" t="str">
        <x:v>ID</x:v>
      </x:c>
      <x:c r="B4" s="31" t="str">
        <x:v>Diagnostic hypothesis</x:v>
      </x:c>
      <x:c r="C4" s="31" t="str">
        <x:v>Question</x:v>
      </x:c>
      <x:c r="D4" s="31" t="str">
        <x:v>Evidence needed to test</x:v>
      </x:c>
      <x:c r="E4" s="31" t="str">
        <x:v>Current evidence</x:v>
      </x:c>
      <x:c r="F4" s="31" t="str">
        <x:v>Interpretation boundary</x:v>
      </x:c>
      <x:c r="G4" s="31" t="str">
        <x:v>Status</x:v>
      </x:c>
    </x:row>
    <x:row r="5">
      <x:c r="A5" s="30" t="str">
        <x:v>H1</x:v>
      </x:c>
      <x:c r="B5" s="30" t="str">
        <x:v>Potential supply gap</x:v>
      </x:c>
      <x:c r="C5" s="30" t="str">
        <x:v>Is enough appropriate workforce capacity entering the system for a specific place/type of care?</x:v>
      </x:c>
      <x:c r="D5" s="30" t="str">
        <x:v>Current need + current workforce stock + geography + care type</x:v>
      </x:c>
      <x:c r="E5" s="30" t="str">
        <x:v>Training data exist; current active workforce stock does not</x:v>
      </x:c>
      <x:c r="F5" s="30" t="str">
        <x:v>Do not compare national functional-need percentages directly with training counts</x:v>
      </x:c>
      <x:c r="G5" s="30" t="str">
        <x:v>HYPOTHESIS</x:v>
      </x:c>
    </x:row>
    <x:row r="6">
      <x:c r="A6" s="30" t="str">
        <x:v>H2</x:v>
      </x:c>
      <x:c r="B6" s="30" t="str">
        <x:v>Potential conversion gap</x:v>
      </x:c>
      <x:c r="C6" s="30" t="str">
        <x:v>What happens between trained and actually providing care?</x:v>
      </x:c>
      <x:c r="D6" s="30" t="str">
        <x:v>Cohort-linked registration, employment, availability and retention</x:v>
      </x:c>
      <x:c r="E6" s="30" t="str">
        <x:v>Training/registration infrastructure observable; downstream linkage incomplete</x:v>
      </x:c>
      <x:c r="F6" s="30" t="str">
        <x:v>Do not infer attrition from the difference between unrelated counts</x:v>
      </x:c>
      <x:c r="G6" s="30" t="str">
        <x:v>HYPOTHESIS</x:v>
      </x:c>
    </x:row>
    <x:row r="7">
      <x:c r="A7" s="30" t="str">
        <x:v>H3</x:v>
      </x:c>
      <x:c r="B7" s="30" t="str">
        <x:v>Potential access / matching / affordability gap</x:v>
      </x:c>
      <x:c r="C7" s="30" t="str">
        <x:v>When care exists, can a person find, reach and afford appropriate support?</x:v>
      </x:c>
      <x:c r="D7" s="30" t="str">
        <x:v>Location, price, timing, service type, financing, referral/discovery and utilization</x:v>
      </x:c>
      <x:c r="E7" s="30" t="str">
        <x:v>Provider services and policy context exist; national unmet access not measured</x:v>
      </x:c>
      <x:c r="F7" s="30" t="str">
        <x:v>Do not call this a proven national access failure</x:v>
      </x:c>
      <x:c r="G7" s="30" t="str">
        <x:v>HYPOTHESIS</x:v>
      </x:c>
    </x:row>
    <x:row r="8">
      <x:c r="A8" s="30" t="str">
        <x:v>H4</x:v>
      </x:c>
      <x:c r="B8" s="30" t="str">
        <x:v>Potential sustainability gap</x:v>
      </x:c>
      <x:c r="C8" s="30" t="str">
        <x:v>Once caregivers enter care work, what helps them remain?</x:v>
      </x:c>
      <x:c r="D8" s="30" t="str">
        <x:v>Retention, turnover, wages, workload, benefits, progression, exit reasons</x:v>
      </x:c>
      <x:c r="E8" s="30" t="str">
        <x:v>Policy concerns support the question; national retention rate absent</x:v>
      </x:c>
      <x:c r="F8" s="30" t="str">
        <x:v>Do not infer national attrition from anecdotes or wage snapshots</x:v>
      </x:c>
      <x:c r="G8" s="30" t="str">
        <x:v>HYPOTHESIS</x:v>
      </x:c>
    </x:row>
    <x:row r="9">
      <x:c r="A9" s="30" t="str">
        <x:v>H5</x:v>
      </x:c>
      <x:c r="B9" s="30" t="str">
        <x:v>Potential visibility gap</x:v>
      </x:c>
      <x:c r="C9" s="30" t="str">
        <x:v>How much capacity exists outside the datasets currently observed?</x:v>
      </x:c>
      <x:c r="D9" s="30" t="str">
        <x:v>Registry coverage, local providers, informal/family care, active status</x:v>
      </x:c>
      <x:c r="E9" s="30" t="str">
        <x:v>Family care and local/private services may sit outside national workforce datasets</x:v>
      </x:c>
      <x:c r="F9" s="30" t="str">
        <x:v>Unobserved ≠ absent</x:v>
      </x:c>
      <x:c r="G9" s="30" t="str">
        <x:v>HYPOTHESIS</x:v>
      </x:c>
    </x:row>
    <x:row r="10">
      <x:c r="A10" s="30" t="str">
        <x:v>H6</x:v>
      </x:c>
      <x:c r="B10" s="30" t="str">
        <x:v>Evidence / measurement gap</x:v>
      </x:c>
      <x:c r="C10" s="30" t="str">
        <x:v>Can the current evidence distinguish between the explanations above?</x:v>
      </x:c>
      <x:c r="D10" s="30" t="str">
        <x:v>Aligned definitions, periods, populations, linked stages and explicit denominators</x:v>
      </x:c>
      <x:c r="E10" s="30" t="str">
        <x:v>Sources measure different pieces of the journey</x:v>
      </x:c>
      <x:c r="F10" s="30" t="str">
        <x:v>A data gap is not evidence that the real-world system is failing</x:v>
      </x:c>
      <x:c r="G10" s="30" t="str">
        <x:v>HYPOTHESIS / DATA GAP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ea560d07db24a9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45" hidden="0" customWidth="1"/>
    <x:col min="4" max="4" width="48" hidden="0" customWidth="1"/>
    <x:col min="5" max="5" width="46" hidden="0" customWidth="1"/>
    <x:col min="6" max="6" width="18" hidden="0" customWidth="1"/>
  </x:cols>
  <x:sheetData>
    <x:row r="1" ht="30" customHeight="1">
      <x:c r="A1" s="28" t="str">
        <x:v>User &amp; Decision Hypotheses</x:v>
      </x:c>
      <x:c r="B1" s="28"/>
      <x:c r="C1" s="28"/>
      <x:c r="D1" s="28"/>
      <x:c r="E1" s="28"/>
      <x:c r="F1" s="28"/>
    </x:row>
    <x:row r="2" ht="34" customHeight="1">
      <x:c r="A2" s="29" t="str">
        <x:v>Proposed early users and decision jobs. These have not yet been validated with real users.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>
      <x:c r="A4" s="31" t="str">
        <x:v>User hypothesis</x:v>
      </x:c>
      <x:c r="B4" s="31" t="str">
        <x:v>Decision / job to be done</x:v>
      </x:c>
      <x:c r="C4" s="31" t="str">
        <x:v>Current friction</x:v>
      </x:c>
      <x:c r="D4" s="31" t="str">
        <x:v>KAALJI proposed value</x:v>
      </x:c>
      <x:c r="E4" s="31" t="str">
        <x:v>Evidence needed for user validation</x:v>
      </x:c>
      <x:c r="F4" s="31" t="str">
        <x:v>Status</x:v>
      </x:c>
    </x:row>
    <x:row r="5">
      <x:c r="A5" s="30" t="str">
        <x:v>Public-sector programme team</x:v>
      </x:c>
      <x:c r="B5" s="30" t="str">
        <x:v>Understand whether programme activity is translating into usable care capacity</x:v>
      </x:c>
      <x:c r="C5" s="30" t="str">
        <x:v>Training, registry, workforce and need evidence sit in different systems</x:v>
      </x:c>
      <x:c r="D5" s="30" t="str">
        <x:v>Trace evidence across stages; surface what is known/unknown; propose next investigation</x:v>
      </x:c>
      <x:c r="E5" s="30" t="str">
        <x:v>Interviews + task walkthroughs + real programme cases</x:v>
      </x:c>
      <x:c r="F5" s="30" t="str">
        <x:v>UNVALIDATED</x:v>
      </x:c>
    </x:row>
    <x:row r="6">
      <x:c r="A6" s="30" t="str">
        <x:v>Policy / research organisation</x:v>
      </x:c>
      <x:c r="B6" s="30" t="str">
        <x:v>Interpret fragmented care-system evidence without overclaiming</x:v>
      </x:c>
      <x:c r="C6" s="30" t="str">
        <x:v>Definitions, periods and populations differ across sources</x:v>
      </x:c>
      <x:c r="D6" s="30" t="str">
        <x:v>Compatibility gate + provenance + hypothesis separation</x:v>
      </x:c>
      <x:c r="E6" s="30" t="str">
        <x:v>Researcher interviews; compare current workflow with KAALJI workflow</x:v>
      </x:c>
      <x:c r="F6" s="30" t="str">
        <x:v>UNVALIDATED</x:v>
      </x:c>
    </x:row>
    <x:row r="7">
      <x:c r="A7" s="30" t="str">
        <x:v>Care-system planner</x:v>
      </x:c>
      <x:c r="B7" s="30" t="str">
        <x:v>Understand where an apparent capacity constraint may sit</x:v>
      </x:c>
      <x:c r="C7" s="30" t="str">
        <x:v>A low-looking number can reflect supply, conversion, access or measurement</x:v>
      </x:c>
      <x:c r="D7" s="30" t="str">
        <x:v>Competing hypotheses + evidence strength + next evidence</x:v>
      </x:c>
      <x:c r="E7" s="30" t="str">
        <x:v>Planning cases + decision-quality evaluation</x:v>
      </x:c>
      <x:c r="F7" s="30" t="str">
        <x:v>UNVALIDATED</x:v>
      </x:c>
    </x:row>
    <x:row r="8">
      <x:c r="A8" s="30" t="str">
        <x:v>Organised care provider</x:v>
      </x:c>
      <x:c r="B8" s="30" t="str">
        <x:v>Assess where service expansion questions need more evidence</x:v>
      </x:c>
      <x:c r="C8" s="30" t="str">
        <x:v>Market/demand data and care-need data are not automatically comparable</x:v>
      </x:c>
      <x:c r="D8" s="30" t="str">
        <x:v>Evidence map and explicit gaps before territory conclusions</x:v>
      </x:c>
      <x:c r="E8" s="30" t="str">
        <x:v>Provider interviews; real expansion decision case</x:v>
      </x:c>
      <x:c r="F8" s="30" t="str">
        <x:v>UNVALIDATED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2" hidden="0" customWidth="1"/>
    <x:col min="4" max="4" width="34" hidden="0" customWidth="1"/>
    <x:col min="5" max="5" width="48" hidden="0" customWidth="1"/>
    <x:col min="6" max="6" width="10" hidden="0" customWidth="1"/>
    <x:col min="7" max="7" width="55" hidden="0" customWidth="1"/>
    <x:col min="8" max="8" width="44" hidden="0" customWidth="1"/>
  </x:cols>
  <x:sheetData>
    <x:row r="1" ht="30" customHeight="1">
      <x:c r="A1" s="28" t="str">
        <x:v>Current Care-Market / Product Landscape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29" t="str">
        <x:v>Landscape is descriptive, not a ranking. The purpose is to show why KAALJI is positioned as decision support rather than another care-delivery marketplace.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Product / system</x:v>
      </x:c>
      <x:c r="B4" s="31" t="str">
        <x:v>Type</x:v>
      </x:c>
      <x:c r="C4" s="31" t="str">
        <x:v>What it does (source-supported)</x:v>
      </x:c>
      <x:c r="D4" s="31" t="str">
        <x:v>Primary user / role</x:v>
      </x:c>
      <x:c r="E4" s="31" t="str">
        <x:v>What it does NOT prove for this project</x:v>
      </x:c>
      <x:c r="F4" s="31" t="str">
        <x:v>Source</x:v>
      </x:c>
      <x:c r="G4" s="31" t="str">
        <x:v>URL</x:v>
      </x:c>
      <x:c r="H4" s="31" t="str">
        <x:v>Portfolio implication</x:v>
      </x:c>
    </x:row>
    <x:row r="5">
      <x:c r="A5" s="30" t="str">
        <x:v>SHATAYU</x:v>
      </x:c>
      <x:c r="B5" s="30" t="str">
        <x:v>Government caregiver dashboard</x:v>
      </x:c>
      <x:c r="C5" s="30" t="str">
        <x:v>Provides information on availability of geriatric caregivers by district/state; trained caregivers can register</x:v>
      </x:c>
      <x:c r="D5" s="30" t="str">
        <x:v>Senior citizens / caregivers / programme ecosystem</x:v>
      </x:c>
      <x:c r="E5" s="30" t="str">
        <x:v>Does not establish active employment, hours, utilization or retention nationally</x:v>
      </x:c>
      <x:c r="F5" s="30" t="str">
        <x:v>S008</x:v>
      </x:c>
      <x:c r="G5" s="30" t="str">
        <x:v>https://www.pib.gov.in/PressReleasePage.aspx?PRID=2264053&amp;lang=2&amp;reg=48</x:v>
      </x:c>
      <x:c r="H5" s="30" t="str">
        <x:v>Registration/discoverability is already being addressed</x:v>
      </x:c>
    </x:row>
    <x:row r="6">
      <x:c r="A6" s="30" t="str">
        <x:v>JEEVAN</x:v>
      </x:c>
      <x:c r="B6" s="30" t="str">
        <x:v>Government senior-citizen support app</x:v>
      </x:c>
      <x:c r="C6" s="30" t="str">
        <x:v>Provides information on schemes/welfare programmes, emergency assistance/support services and senior citizen homes</x:v>
      </x:c>
      <x:c r="D6" s="30" t="str">
        <x:v>Senior citizens</x:v>
      </x:c>
      <x:c r="E6" s="30" t="str">
        <x:v>Not a care-capacity diagnostic system</x:v>
      </x:c>
      <x:c r="F6" s="30" t="str">
        <x:v>S008</x:v>
      </x:c>
      <x:c r="G6" s="30" t="str">
        <x:v>https://www.pib.gov.in/PressReleasePage.aspx?PRID=2264053&amp;lang=2&amp;reg=48</x:v>
      </x:c>
      <x:c r="H6" s="30" t="str">
        <x:v>Support/navigation functions already exist</x:v>
      </x:c>
    </x:row>
    <x:row r="7">
      <x:c r="A7" s="30" t="str">
        <x:v>Portea</x:v>
      </x:c>
      <x:c r="B7" s="30" t="str">
        <x:v>Organised home healthcare provider</x:v>
      </x:c>
      <x:c r="C7" s="30" t="str">
        <x:v>Offers trained attendants, nursing, physiotherapy, elder care and other home-health services with booking/care coordination</x:v>
      </x:c>
      <x:c r="D7" s="30" t="str">
        <x:v>Families / patients seeking services</x:v>
      </x:c>
      <x:c r="E7" s="30" t="str">
        <x:v>Provider coverage and activity do not equal national care capacity</x:v>
      </x:c>
      <x:c r="F7" s="30" t="str">
        <x:v>S013</x:v>
      </x:c>
      <x:c r="G7" s="30" t="str">
        <x:v>https://www.portea.com/</x:v>
      </x:c>
      <x:c r="H7" s="30" t="str">
        <x:v>Private sector already addresses care discovery/delivery</x:v>
      </x:c>
    </x:row>
    <x:row r="8">
      <x:c r="A8" s="30" t="str">
        <x:v>Care24</x:v>
      </x:c>
      <x:c r="B8" s="30" t="str">
        <x:v>Organised home-care / attendant provider</x:v>
      </x:c>
      <x:c r="C8" s="30" t="str">
        <x:v>Offers attendants/caregivers, elder care, nursing and booking across selected cities</x:v>
      </x:c>
      <x:c r="D8" s="30" t="str">
        <x:v>Families / patients seeking services</x:v>
      </x:c>
      <x:c r="E8" s="30" t="str">
        <x:v>Provider data are firm-specific; not national capacity</x:v>
      </x:c>
      <x:c r="F8" s="30" t="str">
        <x:v>S014</x:v>
      </x:c>
      <x:c r="G8" s="30" t="str">
        <x:v>https://care24.co.in/cm/attendant/</x:v>
      </x:c>
      <x:c r="H8" s="30" t="str">
        <x:v>Private sector already addresses care discovery/delivery</x:v>
      </x:c>
    </x:row>
    <x:row r="9">
      <x:c r="A9" s="30" t="str">
        <x:v>KAALJI</x:v>
      </x:c>
      <x:c r="B9" s="30" t="str">
        <x:v>Proposed care-capacity intelligence / decision support</x:v>
      </x:c>
      <x:c r="C9" s="30" t="str">
        <x:v>Connects evidence, checks comparability, surfaces signals/hypotheses, shows evidence strength and next investigation</x:v>
      </x:c>
      <x:c r="D9" s="30" t="str">
        <x:v>Programme teams / planners / researchers / care organisations (hypothesised)</x:v>
      </x:c>
      <x:c r="E9" s="30" t="str">
        <x:v>Not validated; not a marketplace, clinical decision tool or national forecasting system</x:v>
      </x:c>
      <x:c r="F9" s="30" t="str">
        <x:v>Project artifact</x:v>
      </x:c>
      <x:c r="G9" s="30" t="str"/>
      <x:c r="H9" s="30" t="str">
        <x:v>Differentiation is evidence reasoning, not service fulfilment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ca713a51666456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4" hidden="0" customWidth="1"/>
    <x:col min="3" max="3" width="52" hidden="0" customWidth="1"/>
    <x:col min="4" max="4" width="42" hidden="0" customWidth="1"/>
    <x:col min="5" max="5" width="48" hidden="0" customWidth="1"/>
    <x:col min="6" max="6" width="18" hidden="0" customWidth="1"/>
  </x:cols>
  <x:sheetData>
    <x:row r="1" ht="30" customHeight="1">
      <x:c r="A1" s="28" t="str">
        <x:v>KAALJI — Product Requirements</x:v>
      </x:c>
      <x:c r="B1" s="28"/>
      <x:c r="C1" s="28"/>
      <x:c r="D1" s="28"/>
      <x:c r="E1" s="28"/>
      <x:c r="F1" s="28"/>
    </x:row>
    <x:row r="2" ht="34" customHeight="1">
      <x:c r="A2" s="29" t="str">
        <x:v>Proposed / unvalidated product design. The product should help users investigate care-capacity questions without converting uncertainty into artificial certainty.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>
      <x:c r="A4" s="31" t="str">
        <x:v>Status</x:v>
      </x:c>
      <x:c r="B4" s="31" t="str">
        <x:v>Proposed / unvalidated product concept and prototype</x:v>
      </x:c>
      <x:c r="C4" s="30"/>
      <x:c r="D4" s="30"/>
      <x:c r="E4" s="30"/>
      <x:c r="F4" s="30"/>
    </x:row>
    <x:row r="5">
      <x:c r="A5" s="30" t="str">
        <x:v>Product promise</x:v>
      </x:c>
      <x:c r="B5" s="30" t="str">
        <x:v>From care need to care delivered</x:v>
      </x:c>
      <x:c r="C5" s="30"/>
      <x:c r="D5" s="30"/>
      <x:c r="E5" s="30"/>
      <x:c r="F5" s="30"/>
    </x:row>
    <x:row r="6">
      <x:c r="A6" s="30" t="str">
        <x:v>Primary job</x:v>
      </x:c>
      <x:c r="B6" s="30" t="str">
        <x:v>Help a decision-maker understand what is known, what is not known, what may explain a signal, and what evidence to investigate next.</x:v>
      </x:c>
      <x:c r="C6" s="30"/>
      <x:c r="D6" s="30"/>
      <x:c r="E6" s="30"/>
      <x:c r="F6" s="30"/>
    </x:row>
    <x:row r="7">
      <x:c r="A7" s="30" t="str">
        <x:v>User hypothesis</x:v>
      </x:c>
      <x:c r="B7" s="30" t="str">
        <x:v>Programme teams, policy/research organisations, care-system planners and care organisations.</x:v>
      </x:c>
      <x:c r="C7" s="30"/>
      <x:c r="D7" s="30"/>
      <x:c r="E7" s="30"/>
      <x:c r="F7" s="30"/>
    </x:row>
    <x:row r="8">
      <x:c r="A8" s="30" t="str">
        <x:v>Canonical workflow</x:v>
      </x:c>
      <x:c r="B8" s="30" t="str">
        <x:v>Question → Evidence → Compatibility → Signal → Evidence Strength → Known / Unknown → Next Investigation</x:v>
      </x:c>
      <x:c r="C8" s="30"/>
      <x:c r="D8" s="30"/>
      <x:c r="E8" s="30"/>
      <x:c r="F8" s="30"/>
    </x:row>
    <x:row r="9">
      <x:c r="A9" s="30" t="str">
        <x:v>Non-goals</x:v>
      </x:c>
      <x:c r="B9" s="30" t="str">
        <x:v>Caregiver marketplace; patient diagnosis; autonomous clinical/policy decision-making; unsupported shortage forecast; invented workforce data</x:v>
      </x:c>
      <x:c r="C9" s="30"/>
      <x:c r="D9" s="30"/>
      <x:c r="E9" s="30"/>
      <x:c r="F9" s="30"/>
    </x:row>
    <x:row r="10">
      <x:c r="A10" s="30" t="str">
        <x:v>Success hypothesis</x:v>
      </x:c>
      <x:c r="B10" s="30" t="str">
        <x:v>A user reaches a better-supported next investigation or decision without mistaking a hypothesis for a fact.</x:v>
      </x:c>
      <x:c r="C10" s="30"/>
      <x:c r="D10" s="30"/>
      <x:c r="E10" s="30"/>
      <x:c r="F10" s="30"/>
    </x:row>
    <x:row r="11">
      <x:c r="A11" s="30"/>
      <x:c r="B11" s="30"/>
      <x:c r="C11" s="30"/>
      <x:c r="D11" s="30"/>
      <x:c r="E11" s="30"/>
      <x:c r="F11" s="30"/>
    </x:row>
    <x:row r="12">
      <x:c r="A12" s="31" t="str">
        <x:v>Capability</x:v>
      </x:c>
      <x:c r="B12" s="31" t="str">
        <x:v>Input</x:v>
      </x:c>
      <x:c r="C12" s="31" t="str">
        <x:v>System behaviour</x:v>
      </x:c>
      <x:c r="D12" s="31" t="str">
        <x:v>Output</x:v>
      </x:c>
      <x:c r="E12" s="31" t="str">
        <x:v>Guardrail</x:v>
      </x:c>
      <x:c r="F12" s="31" t="str">
        <x:v>Evidence state</x:v>
      </x:c>
    </x:row>
    <x:row r="13">
      <x:c r="A13" s="30" t="str">
        <x:v>Question framing</x:v>
      </x:c>
      <x:c r="B13" s="30" t="str">
        <x:v>User question + geography / population</x:v>
      </x:c>
      <x:c r="C13" s="30" t="str">
        <x:v>Translate into required evidence dimensions</x:v>
      </x:c>
      <x:c r="D13" s="30" t="str">
        <x:v>Structured investigation question</x:v>
      </x:c>
      <x:c r="E13" s="30" t="str">
        <x:v>Do not assume a shortage or desired intervention</x:v>
      </x:c>
      <x:c r="F13" s="30" t="str">
        <x:v>PROPOSED</x:v>
      </x:c>
    </x:row>
    <x:row r="14">
      <x:c r="A14" s="30" t="str">
        <x:v>Evidence retrieval</x:v>
      </x:c>
      <x:c r="B14" s="30" t="str">
        <x:v>Source register / datasets / documents</x:v>
      </x:c>
      <x:c r="C14" s="30" t="str">
        <x:v>Retrieve relevant source-backed evidence</x:v>
      </x:c>
      <x:c r="D14" s="30" t="str">
        <x:v>Evidence set with provenance</x:v>
      </x:c>
      <x:c r="E14" s="30" t="str">
        <x:v>Every important claim remains traceable</x:v>
      </x:c>
      <x:c r="F14" s="30" t="str">
        <x:v>PROPOSED</x:v>
      </x:c>
    </x:row>
    <x:row r="15">
      <x:c r="A15" s="30" t="str">
        <x:v>Compatibility gate</x:v>
      </x:c>
      <x:c r="B15" s="30" t="str">
        <x:v>Period, geography, population, definition, stock/flow metadata</x:v>
      </x:c>
      <x:c r="C15" s="30" t="str">
        <x:v>Apply deterministic comparison checks</x:v>
      </x:c>
      <x:c r="D15" s="30" t="str">
        <x:v>Comparable / context only / blocked / source conflict</x:v>
      </x:c>
      <x:c r="E15" s="30" t="str">
        <x:v>AI cannot override failed compatibility rules</x:v>
      </x:c>
      <x:c r="F15" s="30" t="str">
        <x:v>PROPOSED</x:v>
      </x:c>
    </x:row>
    <x:row r="16">
      <x:c r="A16" s="30" t="str">
        <x:v>Signal generation</x:v>
      </x:c>
      <x:c r="B16" s="30" t="str">
        <x:v>Only compatible evidence</x:v>
      </x:c>
      <x:c r="C16" s="30" t="str">
        <x:v>Calculate or surface a defensible pattern</x:v>
      </x:c>
      <x:c r="D16" s="30" t="str">
        <x:v>Signal with explicit scope</x:v>
      </x:c>
      <x:c r="E16" s="30" t="str">
        <x:v>Signal starts investigation; it is not the diagnosis</x:v>
      </x:c>
      <x:c r="F16" s="30" t="str">
        <x:v>PROPOSED</x:v>
      </x:c>
    </x:row>
    <x:row r="17">
      <x:c r="A17" s="30" t="str">
        <x:v>Evidence strength</x:v>
      </x:c>
      <x:c r="B17" s="30" t="str">
        <x:v>Source quality, recency, completeness, directness, comparability</x:v>
      </x:c>
      <x:c r="C17" s="30" t="str">
        <x:v>Summarise inspectable evidence characteristics</x:v>
      </x:c>
      <x:c r="D17" s="30" t="str">
        <x:v>Evidence-strength explanation</x:v>
      </x:c>
      <x:c r="E17" s="30" t="str">
        <x:v>No opaque AI probability score</x:v>
      </x:c>
      <x:c r="F17" s="30" t="str">
        <x:v>PROPOSED</x:v>
      </x:c>
    </x:row>
    <x:row r="18">
      <x:c r="A18" s="30" t="str">
        <x:v>Known / Unknown</x:v>
      </x:c>
      <x:c r="B18" s="30" t="str">
        <x:v>Evidence register + analysis</x:v>
      </x:c>
      <x:c r="C18" s="30" t="str">
        <x:v>Separate REAL DATA, DERIVED, HYPOTHESIS, DATA GAP</x:v>
      </x:c>
      <x:c r="D18" s="30" t="str">
        <x:v>Evidence-state view</x:v>
      </x:c>
      <x:c r="E18" s="30" t="str">
        <x:v>Assumption cannot silently become fact</x:v>
      </x:c>
      <x:c r="F18" s="30" t="str">
        <x:v>PROPOSED</x:v>
      </x:c>
    </x:row>
    <x:row r="19">
      <x:c r="A19" s="30" t="str">
        <x:v>Next investigation</x:v>
      </x:c>
      <x:c r="B19" s="30" t="str">
        <x:v>Signal + unresolved hypotheses/data gaps</x:v>
      </x:c>
      <x:c r="C19" s="30" t="str">
        <x:v>Identify evidence that would distinguish explanations</x:v>
      </x:c>
      <x:c r="D19" s="30" t="str">
        <x:v>Next data request / field check / research step</x:v>
      </x:c>
      <x:c r="E19" s="30" t="str">
        <x:v>May conclude that current hypothesis cannot be tested</x:v>
      </x:c>
      <x:c r="F19" s="30" t="str">
        <x:v>PROPOSED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8" hidden="0" customWidth="1"/>
    <x:col min="3" max="3" width="34" hidden="0" customWidth="1"/>
    <x:col min="4" max="4" width="30" hidden="0" customWidth="1"/>
    <x:col min="5" max="5" width="20" hidden="0" customWidth="1"/>
    <x:col min="6" max="6" width="48" hidden="0" customWidth="1"/>
    <x:col min="7" max="7" width="42" hidden="0" customWidth="1"/>
    <x:col min="8" max="8" width="44" hidden="0" customWidth="1"/>
  </x:cols>
  <x:sheetData>
    <x:row r="1" ht="30" customHeight="1">
      <x:c r="A1" s="28" t="str">
        <x:v>KAALJI Diagnostic Rules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29" t="str">
        <x:v>Illustrative product logic. Rules identify investigation paths; they do not establish national failures.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Rule</x:v>
      </x:c>
      <x:c r="B4" s="31" t="str">
        <x:v>Precondition / observed pattern</x:v>
      </x:c>
      <x:c r="C4" s="31" t="str">
        <x:v>Possible signal</x:v>
      </x:c>
      <x:c r="D4" s="31" t="str">
        <x:v>Evidence strength</x:v>
      </x:c>
      <x:c r="E4" s="31" t="str">
        <x:v>Evidence class</x:v>
      </x:c>
      <x:c r="F4" s="31" t="str">
        <x:v>What it does NOT establish</x:v>
      </x:c>
      <x:c r="G4" s="31" t="str">
        <x:v>Next evidence</x:v>
      </x:c>
      <x:c r="H4" s="31" t="str">
        <x:v>System behaviour</x:v>
      </x:c>
    </x:row>
    <x:row r="5">
      <x:c r="A5" s="30" t="str">
        <x:v>R0</x:v>
      </x:c>
      <x:c r="B5" s="30" t="str">
        <x:v>Required datasets fail compatibility checks</x:v>
      </x:c>
      <x:c r="C5" s="30" t="str">
        <x:v>Comparison blocked</x:v>
      </x:c>
      <x:c r="D5" s="30" t="str">
        <x:v>NOT ASSESSABLE</x:v>
      </x:c>
      <x:c r="E5" s="30" t="str">
        <x:v>DATA GAP / METHOD</x:v>
      </x:c>
      <x:c r="F5" s="30" t="str">
        <x:v>Any cross-source ratio, shortage or conversion inference</x:v>
      </x:c>
      <x:c r="G5" s="30" t="str">
        <x:v>Aligned period/population/definition/geography</x:v>
      </x:c>
      <x:c r="H5" s="30" t="str">
        <x:v>Stop comparison; explain why</x:v>
      </x:c>
    </x:row>
    <x:row r="6">
      <x:c r="A6" s="30" t="str">
        <x:v>R1</x:v>
      </x:c>
      <x:c r="B6" s="30" t="str">
        <x:v>Compatible evidence suggests training activity is greater than visible registered capacity</x:v>
      </x:c>
      <x:c r="C6" s="30" t="str">
        <x:v>Possible conversion / visibility question</x:v>
      </x:c>
      <x:c r="D6" s="30" t="str">
        <x:v>LIMITED until downstream stages are observed</x:v>
      </x:c>
      <x:c r="E6" s="30" t="str">
        <x:v>HYPOTHESIS</x:v>
      </x:c>
      <x:c r="F6" s="30" t="str">
        <x:v>Employment attrition or caregiver shortage</x:v>
      </x:c>
      <x:c r="G6" s="30" t="str">
        <x:v>Cohort-linked registration, employment, availability</x:v>
      </x:c>
      <x:c r="H6" s="30" t="str">
        <x:v>Surface competing explanations; do not pick a cause</x:v>
      </x:c>
    </x:row>
    <x:row r="7">
      <x:c r="A7" s="30" t="str">
        <x:v>R2</x:v>
      </x:c>
      <x:c r="B7" s="30" t="str">
        <x:v>Current need evidence is high and current workforce stock is demonstrably low for same geography/type</x:v>
      </x:c>
      <x:c r="C7" s="30" t="str">
        <x:v>Possible supply constraint</x:v>
      </x:c>
      <x:c r="D7" s="30" t="str">
        <x:v>Depends on directness/completeness</x:v>
      </x:c>
      <x:c r="E7" s="30" t="str">
        <x:v>HYPOTHESIS</x:v>
      </x:c>
      <x:c r="F7" s="30" t="str">
        <x:v>That training is necessarily the right intervention</x:v>
      </x:c>
      <x:c r="G7" s="30" t="str">
        <x:v>Current need, active workforce, service type, geography</x:v>
      </x:c>
      <x:c r="H7" s="30" t="str">
        <x:v>Ask whether pipeline quantity/type/location is limiting</x:v>
      </x:c>
    </x:row>
    <x:row r="8">
      <x:c r="A8" s="30" t="str">
        <x:v>R3</x:v>
      </x:c>
      <x:c r="B8" s="30" t="str">
        <x:v>Active appropriate capacity exists but utilization is demonstrably low</x:v>
      </x:c>
      <x:c r="C8" s="30" t="str">
        <x:v>Possible access / matching / affordability constraint</x:v>
      </x:c>
      <x:c r="D8" s="30" t="str">
        <x:v>Depends on utilization measurement</x:v>
      </x:c>
      <x:c r="E8" s="30" t="str">
        <x:v>HYPOTHESIS</x:v>
      </x:c>
      <x:c r="F8" s="30" t="str">
        <x:v>Which access mechanism is causal</x:v>
      </x:c>
      <x:c r="G8" s="30" t="str">
        <x:v>Price, financing, awareness, referrals, timing, preferences</x:v>
      </x:c>
      <x:c r="H8" s="30" t="str">
        <x:v>Generate alternative explanations and next checks</x:v>
      </x:c>
    </x:row>
    <x:row r="9">
      <x:c r="A9" s="30" t="str">
        <x:v>R4</x:v>
      </x:c>
      <x:c r="B9" s="30" t="str">
        <x:v>Longitudinal cohort evidence shows exits / turnover</x:v>
      </x:c>
      <x:c r="C9" s="30" t="str">
        <x:v>Possible sustainability constraint</x:v>
      </x:c>
      <x:c r="D9" s="30" t="str">
        <x:v>Depends on cohort quality</x:v>
      </x:c>
      <x:c r="E9" s="30" t="str">
        <x:v>HYPOTHESIS</x:v>
      </x:c>
      <x:c r="F9" s="30" t="str">
        <x:v>Why people leave</x:v>
      </x:c>
      <x:c r="G9" s="30" t="str">
        <x:v>Tenure, wages, workload, benefits, progression, exit reasons</x:v>
      </x:c>
      <x:c r="H9" s="30" t="str">
        <x:v>Separate observed attrition from causal hypotheses</x:v>
      </x:c>
    </x:row>
    <x:row r="10">
      <x:c r="A10" s="30" t="str">
        <x:v>R5</x:v>
      </x:c>
      <x:c r="B10" s="30" t="str">
        <x:v>Important stages are missing or unlinked</x:v>
      </x:c>
      <x:c r="C10" s="30" t="str">
        <x:v>Evidence gap</x:v>
      </x:c>
      <x:c r="D10" s="30" t="str">
        <x:v>HIGH confidence only that evidence is insufficient; diagnosis NOT ASSESSABLE</x:v>
      </x:c>
      <x:c r="E10" s="30" t="str">
        <x:v>DATA GAP</x:v>
      </x:c>
      <x:c r="F10" s="30" t="str">
        <x:v>That the real-world system is failing</x:v>
      </x:c>
      <x:c r="G10" s="30" t="str">
        <x:v>Acquire / link missing evidence</x:v>
      </x:c>
      <x:c r="H10" s="30" t="str">
        <x:v>Make uncertainty the result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a2c2cb76a534b1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46" hidden="0" customWidth="1"/>
    <x:col min="4" max="4" width="40" hidden="0" customWidth="1"/>
    <x:col min="5" max="5" width="18" hidden="0" customWidth="1"/>
    <x:col min="6" max="6" width="38" hidden="0" customWidth="1"/>
    <x:col min="7" max="7" width="44" hidden="0" customWidth="1"/>
    <x:col min="8" max="8" width="18" hidden="0" customWidth="1"/>
  </x:cols>
  <x:sheetData>
    <x:row r="1" ht="30" customHeight="1">
      <x:c r="A1" s="28" t="str">
        <x:v>AI Responsibility Matrix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29" t="str">
        <x:v>Use AI for language, synthesis and exploration; use deterministic logic for reproducible rules/calculations; keep consequential judgment with the human.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Task</x:v>
      </x:c>
      <x:c r="B4" s="31" t="str">
        <x:v>AI role</x:v>
      </x:c>
      <x:c r="C4" s="31" t="str">
        <x:v>Deterministic / data-system role</x:v>
      </x:c>
      <x:c r="D4" s="31" t="str">
        <x:v>Human role</x:v>
      </x:c>
      <x:c r="E4" s="31" t="str">
        <x:v>Allowed?</x:v>
      </x:c>
      <x:c r="F4" s="31" t="str">
        <x:v>Primary failure mode</x:v>
      </x:c>
      <x:c r="G4" s="31" t="str">
        <x:v>Required guardrail</x:v>
      </x:c>
      <x:c r="H4" s="31" t="str">
        <x:v>Relevant source</x:v>
      </x:c>
    </x:row>
    <x:row r="5">
      <x:c r="A5" s="30" t="str">
        <x:v>Evidence discovery &amp; synthesis</x:v>
      </x:c>
      <x:c r="B5" s="30" t="str">
        <x:v>Parse user question; retrieve/summarise source-grounded material</x:v>
      </x:c>
      <x:c r="C5" s="30" t="str">
        <x:v>Store provenance, dates, definitions and retrieved evidence</x:v>
      </x:c>
      <x:c r="D5" s="30" t="str">
        <x:v>Review important claims and source fit</x:v>
      </x:c>
      <x:c r="E5" s="30" t="str">
        <x:v>YES — assisted</x:v>
      </x:c>
      <x:c r="F5" s="30" t="str">
        <x:v>Hallucinated or decontextualised claim</x:v>
      </x:c>
      <x:c r="G5" s="30" t="str">
        <x:v>Every claim linked to source; evidence state visible</x:v>
      </x:c>
      <x:c r="H5" s="30" t="str">
        <x:v>ICMR / WHO</x:v>
      </x:c>
    </x:row>
    <x:row r="6">
      <x:c r="A6" s="30" t="str">
        <x:v>Evidence reconciliation</x:v>
      </x:c>
      <x:c r="B6" s="30" t="str">
        <x:v>Explain discrepancies and possible reasons</x:v>
      </x:c>
      <x:c r="C6" s="30" t="str">
        <x:v>Compare metadata: period, population, geography, definition, stock/flow</x:v>
      </x:c>
      <x:c r="D6" s="30" t="str">
        <x:v>Resolve source hierarchy / decide whether evidence is usable</x:v>
      </x:c>
      <x:c r="E6" s="30" t="str">
        <x:v>YES — explanation only</x:v>
      </x:c>
      <x:c r="F6" s="30" t="str">
        <x:v>Model 'chooses' a convenient number</x:v>
      </x:c>
      <x:c r="G6" s="30" t="str">
        <x:v>Contradictions remain visible until resolved</x:v>
      </x:c>
      <x:c r="H6" s="30" t="str">
        <x:v>ICMR / WHO</x:v>
      </x:c>
    </x:row>
    <x:row r="7">
      <x:c r="A7" s="30" t="str">
        <x:v>Compatibility decision</x:v>
      </x:c>
      <x:c r="B7" s="30" t="str">
        <x:v>Explain rule outcome in plain language</x:v>
      </x:c>
      <x:c r="C7" s="30" t="str">
        <x:v>Apply explicit comparison rules</x:v>
      </x:c>
      <x:c r="D7" s="30" t="str">
        <x:v>Override only by documented methodological decision, not intuition</x:v>
      </x:c>
      <x:c r="E7" s="30" t="str">
        <x:v>NO — AI does not decide</x:v>
      </x:c>
      <x:c r="F7" s="30" t="str">
        <x:v>False comparability</x:v>
      </x:c>
      <x:c r="G7" s="30" t="str">
        <x:v>Deterministic gate + audit trail</x:v>
      </x:c>
      <x:c r="H7" s="30" t="str">
        <x:v>Project method</x:v>
      </x:c>
    </x:row>
    <x:row r="8">
      <x:c r="A8" s="30" t="str">
        <x:v>Derived calculation</x:v>
      </x:c>
      <x:c r="B8" s="30" t="str">
        <x:v>Explain calculation and interpretation</x:v>
      </x:c>
      <x:c r="C8" s="30" t="str">
        <x:v>Perform reproducible formula / code calculation</x:v>
      </x:c>
      <x:c r="D8" s="30" t="str">
        <x:v>Review assumptions and denominator</x:v>
      </x:c>
      <x:c r="E8" s="30" t="str">
        <x:v>NO — AI does not own arithmetic</x:v>
      </x:c>
      <x:c r="F8" s="30" t="str">
        <x:v>Hidden/non-reproducible number</x:v>
      </x:c>
      <x:c r="G8" s="30" t="str">
        <x:v>Formula/code retained</x:v>
      </x:c>
      <x:c r="H8" s="30" t="str">
        <x:v>Project method</x:v>
      </x:c>
    </x:row>
    <x:row r="9">
      <x:c r="A9" s="30" t="str">
        <x:v>Hypothesis generation</x:v>
      </x:c>
      <x:c r="B9" s="30" t="str">
        <x:v>Generate plausible competing explanations and what evidence would test them</x:v>
      </x:c>
      <x:c r="C9" s="30" t="str">
        <x:v>Keep hypotheses tagged separately from findings</x:v>
      </x:c>
      <x:c r="D9" s="30" t="str">
        <x:v>Select what is worth investigating</x:v>
      </x:c>
      <x:c r="E9" s="30" t="str">
        <x:v>YES — constrained</x:v>
      </x:c>
      <x:c r="F9" s="30" t="str">
        <x:v>Plausible speculation presented as fact</x:v>
      </x:c>
      <x:c r="G9" s="30" t="str">
        <x:v>Always HYPOTHESIS; show disconfirming evidence needed</x:v>
      </x:c>
      <x:c r="H9" s="30" t="str">
        <x:v>ICMR / WHO</x:v>
      </x:c>
    </x:row>
    <x:row r="10">
      <x:c r="A10" s="30" t="str">
        <x:v>Natural-language exploration</x:v>
      </x:c>
      <x:c r="B10" s="30" t="str">
        <x:v>Translate plain-language questions into evidence retrieval/queries</x:v>
      </x:c>
      <x:c r="C10" s="30" t="str">
        <x:v>Execute retrieval against approved sources</x:v>
      </x:c>
      <x:c r="D10" s="30" t="str">
        <x:v>Interpret output for decision context</x:v>
      </x:c>
      <x:c r="E10" s="30" t="str">
        <x:v>YES</x:v>
      </x:c>
      <x:c r="F10" s="30" t="str">
        <x:v>Overbroad answer beyond evidence base</x:v>
      </x:c>
      <x:c r="G10" s="30" t="str">
        <x:v>Scope, provenance, known/unknown separation</x:v>
      </x:c>
      <x:c r="H10" s="30" t="str">
        <x:v>ICMR / WHO</x:v>
      </x:c>
    </x:row>
    <x:row r="11">
      <x:c r="A11" s="30" t="str">
        <x:v>Scenario exploration</x:v>
      </x:c>
      <x:c r="B11" s="30" t="str">
        <x:v>Translate a 'what-if' into explicit inputs; explain results</x:v>
      </x:c>
      <x:c r="C11" s="30" t="str">
        <x:v>Scenario engine performs calculation from visible assumptions</x:v>
      </x:c>
      <x:c r="D11" s="30" t="str">
        <x:v>Choose assumptions and interpret relevance</x:v>
      </x:c>
      <x:c r="E11" s="30" t="str">
        <x:v>YES — assisted</x:v>
      </x:c>
      <x:c r="F11" s="30" t="str">
        <x:v>Scenario mistaken for forecast</x:v>
      </x:c>
      <x:c r="G11" s="30" t="str">
        <x:v>Label scenario; assumptions shown; no hidden calculation</x:v>
      </x:c>
      <x:c r="H11" s="30" t="str">
        <x:v>Project method</x:v>
      </x:c>
    </x:row>
    <x:row r="12">
      <x:c r="A12" s="30" t="str">
        <x:v>Clinical diagnosis / patient treatment</x:v>
      </x:c>
      <x:c r="B12" s="30" t="str">
        <x:v>None</x:v>
      </x:c>
      <x:c r="C12" s="30" t="str">
        <x:v>None</x:v>
      </x:c>
      <x:c r="D12" s="30" t="str">
        <x:v>Qualified clinician / appropriate care process</x:v>
      </x:c>
      <x:c r="E12" s="30" t="str">
        <x:v>NO</x:v>
      </x:c>
      <x:c r="F12" s="30" t="str">
        <x:v>Unsafe autonomous health decision</x:v>
      </x:c>
      <x:c r="G12" s="30" t="str">
        <x:v>Out of product scope</x:v>
      </x:c>
      <x:c r="H12" s="30" t="str">
        <x:v>ICMR</x:v>
      </x:c>
    </x:row>
    <x:row r="13">
      <x:c r="A13" s="30" t="str">
        <x:v>Policy / programme decision</x:v>
      </x:c>
      <x:c r="B13" s="30" t="str">
        <x:v>Summarise evidence and trade-offs only</x:v>
      </x:c>
      <x:c r="C13" s="30" t="str">
        <x:v>Provide traceable evidence outputs</x:v>
      </x:c>
      <x:c r="D13" s="30" t="str">
        <x:v>Decision-maker retains accountability</x:v>
      </x:c>
      <x:c r="E13" s="30" t="str">
        <x:v>NO — AI not final authority</x:v>
      </x:c>
      <x:c r="F13" s="30" t="str">
        <x:v>Automation bias</x:v>
      </x:c>
      <x:c r="G13" s="30" t="str">
        <x:v>Human judgment and documented rationale</x:v>
      </x:c>
      <x:c r="H13" s="30" t="str">
        <x:v>ICMR / WHO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c80bd7b14424be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52" hidden="0" customWidth="1"/>
    <x:col min="4" max="4" width="42" hidden="0" customWidth="1"/>
    <x:col min="5" max="5" width="44" hidden="0" customWidth="1"/>
    <x:col min="6" max="6" width="48" hidden="0" customWidth="1"/>
    <x:col min="7" max="7" width="16" hidden="0" customWidth="1"/>
    <x:col min="8" max="8" width="28" hidden="0" customWidth="1"/>
  </x:cols>
  <x:sheetData>
    <x:row r="1" ht="30" customHeight="1">
      <x:c r="A1" s="28" t="str">
        <x:v>KAALJI Validation Framework</x:v>
      </x:c>
      <x:c r="B1" s="28"/>
      <x:c r="C1" s="28"/>
      <x:c r="D1" s="28"/>
      <x:c r="E1" s="28"/>
      <x:c r="F1" s="28"/>
      <x:c r="G1" s="28"/>
      <x:c r="H1" s="28"/>
    </x:row>
    <x:row r="2" ht="34" customHeight="1">
      <x:c r="A2" s="29" t="str">
        <x:v>Validation must be able to strengthen, change or kill the product concept. No validation result is claimed yet.</x:v>
      </x:c>
      <x:c r="B2" s="29"/>
      <x:c r="C2" s="29"/>
      <x:c r="D2" s="29"/>
      <x:c r="E2" s="29"/>
      <x:c r="F2" s="29"/>
      <x:c r="G2" s="29"/>
      <x:c r="H2" s="29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31" t="str">
        <x:v>Layer</x:v>
      </x:c>
      <x:c r="B4" s="31" t="str">
        <x:v>Validation hypothesis</x:v>
      </x:c>
      <x:c r="C4" s="31" t="str">
        <x:v>Test / experiment</x:v>
      </x:c>
      <x:c r="D4" s="31" t="str">
        <x:v>What to observe</x:v>
      </x:c>
      <x:c r="E4" s="31" t="str">
        <x:v>Evidence of value</x:v>
      </x:c>
      <x:c r="F4" s="31" t="str">
        <x:v>Failure / kill signal</x:v>
      </x:c>
      <x:c r="G4" s="31" t="str">
        <x:v>Current status</x:v>
      </x:c>
      <x:c r="H4" s="31" t="str">
        <x:v>Artifact / owner</x:v>
      </x:c>
    </x:row>
    <x:row r="5">
      <x:c r="A5" s="30" t="str">
        <x:v>1. Data validity</x:v>
      </x:c>
      <x:c r="B5" s="30" t="str">
        <x:v>Selected high-value care-capacity questions can be supported by sufficiently defined and compatible evidence</x:v>
      </x:c>
      <x:c r="C5" s="30" t="str">
        <x:v>Audit a defined question set through the compatibility gate</x:v>
      </x:c>
      <x:c r="D5" s="30" t="str">
        <x:v>Usable evidence, blocked comparisons, unresolved conflicts, missing data</x:v>
      </x:c>
      <x:c r="E5" s="30" t="str">
        <x:v>Important questions can be answered or honestly bounded with traceable evidence</x:v>
      </x:c>
      <x:c r="F5" s="30" t="str">
        <x:v>Most high-value questions remain unanswerable and KAALJI adds little beyond a source catalogue</x:v>
      </x:c>
      <x:c r="G5" s="30" t="str">
        <x:v>NOT RUN</x:v>
      </x:c>
      <x:c r="H5" s="30" t="str">
        <x:v>Evidence Compatibility + Evidence Register</x:v>
      </x:c>
    </x:row>
    <x:row r="6">
      <x:c r="A6" s="30" t="str">
        <x:v>2. Diagnostic validity</x:v>
      </x:c>
      <x:c r="B6" s="30" t="str">
        <x:v>The framework points users toward evidence that actually distinguishes competing explanations</x:v>
      </x:c>
      <x:c r="C6" s="30" t="str">
        <x:v>Use real cases where better programme/provider/field evidence can be obtained; compare recommended next investigation with what additional evidence reveals</x:v>
      </x:c>
      <x:c r="D6" s="30" t="str">
        <x:v>Whether recommended evidence was relevant and whether hypotheses were pruned correctly</x:v>
      </x:c>
      <x:c r="E6" s="30" t="str">
        <x:v>KAALJI consistently identifies decision-relevant next evidence without pretending to predict the answer</x:v>
      </x:c>
      <x:c r="F6" s="30" t="str">
        <x:v>Framework repeatedly sends users toward irrelevant evidence or reinforces the wrong causal story</x:v>
      </x:c>
      <x:c r="G6" s="30" t="str">
        <x:v>NOT RUN</x:v>
      </x:c>
      <x:c r="H6" s="30" t="str">
        <x:v>Diagnostic Rules + Hypotheses &amp; Tests</x:v>
      </x:c>
    </x:row>
    <x:row r="7">
      <x:c r="A7" s="30" t="str">
        <x:v>3. User interpretation</x:v>
      </x:c>
      <x:c r="B7" s="30" t="str">
        <x:v>Evidence context and uncertainty improve interpretation compared with numbers alone</x:v>
      </x:c>
      <x:c r="C7" s="30" t="str">
        <x:v>A/B-style task: same care-capacity problem with raw numbers vs KAALJI context/provenance/known-unknown</x:v>
      </x:c>
      <x:c r="D7" s="30" t="str">
        <x:v>Unsupported conclusions, correct identification of limitations, quality of next question</x:v>
      </x:c>
      <x:c r="E7" s="30" t="str">
        <x:v>Users distinguish fact from hypothesis/data gap more reliably and can explain why</x:v>
      </x:c>
      <x:c r="F7" s="30" t="str">
        <x:v>Context adds complexity without improving interpretation or action</x:v>
      </x:c>
      <x:c r="G7" s="30" t="str">
        <x:v>NOT RUN</x:v>
      </x:c>
      <x:c r="H7" s="30" t="str">
        <x:v>Prototype test</x:v>
      </x:c>
    </x:row>
    <x:row r="8">
      <x:c r="A8" s="30" t="str">
        <x:v>4. Decision / investigation impact</x:v>
      </x:c>
      <x:c r="B8" s="30" t="str">
        <x:v>KAALJI changes what a decision-maker does next in a defensible way</x:v>
      </x:c>
      <x:c r="C8" s="30" t="str">
        <x:v>Observe real or realistic planning task with and without KAALJI</x:v>
      </x:c>
      <x:c r="D8" s="30" t="str">
        <x:v>Data requested, hypothesis investigated, comparison rejected/accepted, intervention decision deferred/changed</x:v>
      </x:c>
      <x:c r="E8" s="30" t="str">
        <x:v>Next action is more evidence-aligned, not merely more elaborate</x:v>
      </x:c>
      <x:c r="F8" s="30" t="str">
        <x:v>Users like the interface but take the same unsupported action</x:v>
      </x:c>
      <x:c r="G8" s="30" t="str">
        <x:v>NOT RUN</x:v>
      </x:c>
      <x:c r="H8" s="30" t="str">
        <x:v>User validation</x:v>
      </x:c>
    </x:row>
    <x:row r="9">
      <x:c r="A9" s="30" t="str">
        <x:v>5. AI quality</x:v>
      </x:c>
      <x:c r="B9" s="30" t="str">
        <x:v>AI assistance remains source-grounded and preserves evidence labels</x:v>
      </x:c>
      <x:c r="C9" s="30" t="str">
        <x:v>Offline evaluation on representative questions and source conflicts</x:v>
      </x:c>
      <x:c r="D9" s="30" t="str">
        <x:v>Citation accuracy, unsupported claims, hypothesis-label violations, conflict handling</x:v>
      </x:c>
      <x:c r="E9" s="30" t="str">
        <x:v>AI adds speed/explanation without reducing evidence discipline</x:v>
      </x:c>
      <x:c r="F9" s="30" t="str">
        <x:v>Frequent unsupported claims, source mismatch or automation bias risk</x:v>
      </x:c>
      <x:c r="G9" s="30" t="str">
        <x:v>NOT RUN</x:v>
      </x:c>
      <x:c r="H9" s="30" t="str">
        <x:v>AI evaluation set</x:v>
      </x:c>
    </x:row>
    <x:row r="10">
      <x:c r="A10" s="30" t="str">
        <x:v>6. Stop / reshape criteria</x:v>
      </x:c>
      <x:c r="B10" s="30" t="str">
        <x:v>The product is only worth building if the reasoning layer adds material value</x:v>
      </x:c>
      <x:c r="C10" s="30" t="str">
        <x:v>Review outcomes from layers 1-5 before expansion</x:v>
      </x:c>
      <x:c r="D10" s="30" t="str">
        <x:v>Whether core job is already solved by current tools/processes and whether data supports the workflow</x:v>
      </x:c>
      <x:c r="E10" s="30" t="str">
        <x:v>Clear incremental decision value and testable path forward</x:v>
      </x:c>
      <x:c r="F10" s="30" t="str">
        <x:v>No meaningful data base, no user need, or negligible decision improvement</x:v>
      </x:c>
      <x:c r="G10" s="30" t="str">
        <x:v>NOT RUN</x:v>
      </x:c>
      <x:c r="H10" s="30" t="str">
        <x:v>Portfolio decision gate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7d8df69715f477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52" hidden="0" customWidth="1"/>
    <x:col min="4" max="4" width="48" hidden="0" customWidth="1"/>
    <x:col min="5" max="5" width="48" hidden="0" customWidth="1"/>
    <x:col min="6" max="6" width="14" hidden="0" customWidth="1"/>
    <x:col min="7" max="7" width="24" hidden="0" customWidth="1"/>
  </x:cols>
  <x:sheetData>
    <x:row r="1" ht="30" customHeight="1">
      <x:c r="A1" s="28" t="str">
        <x:v>Methods / Decision Log</x:v>
      </x:c>
      <x:c r="B1" s="28"/>
      <x:c r="C1" s="28"/>
      <x:c r="D1" s="28"/>
      <x:c r="E1" s="28"/>
      <x:c r="F1" s="28"/>
      <x:c r="G1" s="28"/>
    </x:row>
    <x:row r="2" ht="34" customHeight="1">
      <x:c r="A2" s="29" t="str">
        <x:v>Human-authorship proof: what I first assumed, what the evidence changed, and how that changed the product.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31" t="str">
        <x:v>ID</x:v>
      </x:c>
      <x:c r="B4" s="31" t="str">
        <x:v>Initial assumption / question</x:v>
      </x:c>
      <x:c r="C4" s="31" t="str">
        <x:v>Evidence or constraint encountered</x:v>
      </x:c>
      <x:c r="D4" s="31" t="str">
        <x:v>Decision / change in thinking</x:v>
      </x:c>
      <x:c r="E4" s="31" t="str">
        <x:v>Product consequence</x:v>
      </x:c>
      <x:c r="F4" s="31" t="str">
        <x:v>Status</x:v>
      </x:c>
      <x:c r="G4" s="31" t="str">
        <x:v>Narrative link</x:v>
      </x:c>
    </x:row>
    <x:row r="5">
      <x:c r="A5" s="30" t="str">
        <x:v>D01</x:v>
      </x:c>
      <x:c r="B5" s="30" t="str">
        <x:v>Is India facing a caregiver shortage?</x:v>
      </x:c>
      <x:c r="C5" s="30" t="str">
        <x:v>Available evidence does not establish national active caregiver supply, paid-care demand or unmet formal-care need</x:v>
      </x:c>
      <x:c r="D5" s="30" t="str">
        <x:v>Reframe from shortage-finding to care-capacity conversion and diagnosis</x:v>
      </x:c>
      <x:c r="E5" s="30" t="str">
        <x:v>KAALJI investigates competing explanations instead of declaring shortages</x:v>
      </x:c>
      <x:c r="F5" s="30" t="str">
        <x:v>LOCKED</x:v>
      </x:c>
      <x:c r="G5" s="30" t="str">
        <x:v>Sections 01, 04, 10</x:v>
      </x:c>
    </x:row>
    <x:row r="6">
      <x:c r="A6" s="30" t="str">
        <x:v>D02</x:v>
      </x:c>
      <x:c r="B6" s="30" t="str">
        <x:v>Caregiver training numbers may approximate supply</x:v>
      </x:c>
      <x:c r="C6" s="30" t="str">
        <x:v>PM-SPECIAL reports training; employment, active availability, utilization and retention are separate or missing stages</x:v>
      </x:c>
      <x:c r="D6" s="30" t="str">
        <x:v>Treat training as workforce-pipeline activity only</x:v>
      </x:c>
      <x:c r="E6" s="30" t="str">
        <x:v>Conversion framework separates training from downstream stages</x:v>
      </x:c>
      <x:c r="F6" s="30" t="str">
        <x:v>LOCKED</x:v>
      </x:c>
      <x:c r="G6" s="30" t="str">
        <x:v>Sections 02-03</x:v>
      </x:c>
    </x:row>
    <x:row r="7">
      <x:c r="A7" s="30" t="str">
        <x:v>D03</x:v>
      </x:c>
      <x:c r="B7" s="30" t="str">
        <x:v>Living arrangement may indicate family care capacity</x:v>
      </x:c>
      <x:c r="C7" s="30" t="str">
        <x:v>LASI directly measures household arrangement, not time, willingness, skill, health or actual caregiving availability</x:v>
      </x:c>
      <x:c r="D7" s="30" t="str">
        <x:v>Use living arrangement as contextual proxy only</x:v>
      </x:c>
      <x:c r="E7" s="30" t="str">
        <x:v>Family-capacity layer carries explicit limitation</x:v>
      </x:c>
      <x:c r="F7" s="30" t="str">
        <x:v>LOCKED</x:v>
      </x:c>
      <x:c r="G7" s="30" t="str">
        <x:v>Sections 02-03</x:v>
      </x:c>
    </x:row>
    <x:row r="8">
      <x:c r="A8" s="30" t="str">
        <x:v>D04</x:v>
      </x:c>
      <x:c r="B8" s="30" t="str">
        <x:v>A useful product might help families find caregivers</x:v>
      </x:c>
      <x:c r="C8" s="30" t="str">
        <x:v>SHATAYU/JEEVAN and organised providers already address parts of registration, discovery and care delivery</x:v>
      </x:c>
      <x:c r="D8" s="30" t="str">
        <x:v>Do not build another marketplace</x:v>
      </x:c>
      <x:c r="E8" s="30" t="str">
        <x:v>KAALJI positioned as evidence/decision support</x:v>
      </x:c>
      <x:c r="F8" s="30" t="str">
        <x:v>LOCKED</x:v>
      </x:c>
      <x:c r="G8" s="30" t="str">
        <x:v>Sections 05, 10</x:v>
      </x:c>
    </x:row>
    <x:row r="9">
      <x:c r="A9" s="30" t="str">
        <x:v>D05</x:v>
      </x:c>
      <x:c r="B9" s="30" t="str">
        <x:v>More data should automatically clarify the answer</x:v>
      </x:c>
      <x:c r="C9" s="30" t="str">
        <x:v>Sources differ in period, population, definitions and stage; even official 2026 target materials use inconsistent horizon wording</x:v>
      </x:c>
      <x:c r="D9" s="30" t="str">
        <x:v>Add an explicit evidence-compatibility gate</x:v>
      </x:c>
      <x:c r="E9" s="30" t="str">
        <x:v>KAALJI can block or qualify a comparison</x:v>
      </x:c>
      <x:c r="F9" s="30" t="str">
        <x:v>LOCKED</x:v>
      </x:c>
      <x:c r="G9" s="30" t="str">
        <x:v>Sections 05-06</x:v>
      </x:c>
    </x:row>
    <x:row r="10">
      <x:c r="A10" s="30" t="str">
        <x:v>D06</x:v>
      </x:c>
      <x:c r="B10" s="30" t="str">
        <x:v>A model confidence score could summarise certainty</x:v>
      </x:c>
      <x:c r="C10" s="30" t="str">
        <x:v>A precise-looking score can hide weak or incompatible evidence</x:v>
      </x:c>
      <x:c r="D10" s="30" t="str">
        <x:v>Use inspectable evidence strength rather than opaque AI confidence</x:v>
      </x:c>
      <x:c r="E10" s="30" t="str">
        <x:v>Evidence-strength explanation replaces model probability</x:v>
      </x:c>
      <x:c r="F10" s="30" t="str">
        <x:v>LOCKED</x:v>
      </x:c>
      <x:c r="G10" s="30" t="str">
        <x:v>Sections 05-07</x:v>
      </x:c>
    </x:row>
    <x:row r="11">
      <x:c r="A11" s="30" t="str">
        <x:v>D07</x:v>
      </x:c>
      <x:c r="B11" s="30" t="str">
        <x:v>AI could reconcile evidence and calculate scenarios end-to-end</x:v>
      </x:c>
      <x:c r="C11" s="30" t="str">
        <x:v>Generative models can hallucinate, over-resolve conflicts and hide arithmetic</x:v>
      </x:c>
      <x:c r="D11" s="30" t="str">
        <x:v>Limit AI to language/synthesis/exploration; keep rules/calculations deterministic</x:v>
      </x:c>
      <x:c r="E11" s="30" t="str">
        <x:v>AI Responsibility Matrix and human-judgment boundary</x:v>
      </x:c>
      <x:c r="F11" s="30" t="str">
        <x:v>LOCKED</x:v>
      </x:c>
      <x:c r="G11" s="30" t="str">
        <x:v>Section 07</x:v>
      </x:c>
    </x:row>
    <x:row r="12">
      <x:c r="A12" s="30" t="str">
        <x:v>D08</x:v>
      </x:c>
      <x:c r="B12" s="30" t="str">
        <x:v>State comparisons could identify where intervention is most needed</x:v>
      </x:c>
      <x:c r="C12" s="30" t="str">
        <x:v>Earlier exploratory screens mixed historical need/context with later training data and non-equivalent constructs</x:v>
      </x:c>
      <x:c r="D12" s="30" t="str">
        <x:v>Do not publish geographic intervention rankings from mismatched evidence</x:v>
      </x:c>
      <x:c r="E12" s="30" t="str">
        <x:v>State data remain contextual until denominators/stages align</x:v>
      </x:c>
      <x:c r="F12" s="30" t="str">
        <x:v>LOCKED</x:v>
      </x:c>
      <x:c r="G12" s="30" t="str">
        <x:v>Sections 02, 04, 10</x:v>
      </x:c>
    </x:row>
    <x:row r="13">
      <x:c r="A13" s="30" t="str">
        <x:v>D09</x:v>
      </x:c>
      <x:c r="B13" s="30" t="str">
        <x:v>A polished prototype would be enough to demonstrate product value</x:v>
      </x:c>
      <x:c r="C13" s="30" t="str">
        <x:v>Interface preference does not prove diagnostic or decision value</x:v>
      </x:c>
      <x:c r="D13" s="30" t="str">
        <x:v>Validation must test data, diagnosis, interpretation and action</x:v>
      </x:c>
      <x:c r="E13" s="30" t="str">
        <x:v>Section 08 validation framework / kill criteria</x:v>
      </x:c>
      <x:c r="F13" s="30" t="str">
        <x:v>LOCKED</x:v>
      </x:c>
      <x:c r="G13" s="30" t="str">
        <x:v>Section 08</x:v>
      </x:c>
    </x:row>
    <x:row r="14">
      <x:c r="A14" s="30" t="str">
        <x:v>D10</x:v>
      </x:c>
      <x:c r="B14" s="30" t="str">
        <x:v>The project should conclude with an answer</x:v>
      </x:c>
      <x:c r="C14" s="30" t="str">
        <x:v>The strongest result is a better-defined question, framework, product hypothesis and next research agenda</x:v>
      </x:c>
      <x:c r="D14" s="30" t="str">
        <x:v>End with explicit unknowns and testable next steps</x:v>
      </x:c>
      <x:c r="E14" s="30" t="str">
        <x:v>Prototype is a testable version of the idea, not proof it works</x:v>
      </x:c>
      <x:c r="F14" s="30" t="str">
        <x:v>LOCKED</x:v>
      </x:c>
      <x:c r="G14" s="30" t="str">
        <x:v>Sections 08-10</x:v>
      </x:c>
    </x:row>
    <x:row r="15">
      <x:c r="A15" s="30" t="str">
        <x:v>D11</x:v>
      </x:c>
      <x:c r="B15" s="30" t="str">
        <x:v>The case study itself can prove the work</x:v>
      </x:c>
      <x:c r="C15" s="30" t="str">
        <x:v>Polished prose can be hard to distinguish from retrospective storytelling</x:v>
      </x:c>
      <x:c r="D15" s="30" t="str">
        <x:v>Create a traceable artifact chain behind every major claim and decision</x:v>
      </x:c>
      <x:c r="E15" s="30" t="str">
        <x:v>Master workbook becomes source of truth; public page links to selected proof artifacts</x:v>
      </x:c>
      <x:c r="F15" s="30" t="str">
        <x:v>LOCKED</x:v>
      </x:c>
      <x:c r="G15" s="30" t="str">
        <x:v>Section 09 / artifact audit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e658d7e3cf9427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4" hidden="0" customWidth="1"/>
    <x:col min="3" max="3" width="24" hidden="0" customWidth="1"/>
    <x:col min="4" max="4" width="46" hidden="0" customWidth="1"/>
    <x:col min="5" max="5" width="50" hidden="0" customWidth="1"/>
    <x:col min="6" max="6" width="28" hidden="0" customWidth="1"/>
  </x:cols>
  <x:sheetData>
    <x:row r="1" ht="30" customHeight="1">
      <x:c r="A1" s="28" t="str">
        <x:v>Methodology &amp; Provenance</x:v>
      </x:c>
      <x:c r="B1" s="28"/>
      <x:c r="C1" s="28"/>
      <x:c r="D1" s="28"/>
      <x:c r="E1" s="28"/>
      <x:c r="F1" s="28"/>
    </x:row>
    <x:row r="2" ht="34" customHeight="1">
      <x:c r="A2" s="29" t="str">
        <x:v>Rules governing how evidence enters the project and how source evidence becomes analysis/product behavior.</x:v>
      </x:c>
      <x:c r="B2" s="29"/>
      <x:c r="C2" s="29"/>
      <x:c r="D2" s="29"/>
      <x:c r="E2" s="29"/>
      <x:c r="F2" s="29"/>
    </x:row>
    <x:row r="3">
      <x:c r="A3" s="30"/>
      <x:c r="B3" s="30"/>
      <x:c r="C3" s="30"/>
      <x:c r="D3" s="30"/>
      <x:c r="E3" s="30"/>
      <x:c r="F3" s="30"/>
    </x:row>
    <x:row r="4">
      <x:c r="A4" s="31" t="str">
        <x:v>Layer</x:v>
      </x:c>
      <x:c r="B4" s="31" t="str">
        <x:v>Method / rule</x:v>
      </x:c>
      <x:c r="C4" s="31" t="str">
        <x:v>Evidence state</x:v>
      </x:c>
      <x:c r="D4" s="31" t="str">
        <x:v>What is allowed</x:v>
      </x:c>
      <x:c r="E4" s="31" t="str">
        <x:v>What is not allowed</x:v>
      </x:c>
      <x:c r="F4" s="31" t="str">
        <x:v>Primary artifact</x:v>
      </x:c>
    </x:row>
    <x:row r="5">
      <x:c r="A5" s="30" t="str">
        <x:v>Source evidence</x:v>
      </x:c>
      <x:c r="B5" s="30" t="str">
        <x:v>Use official primary sources where possible; retain publication date, reporting period, population, geography and exact location</x:v>
      </x:c>
      <x:c r="C5" s="30" t="str">
        <x:v>REAL DATA</x:v>
      </x:c>
      <x:c r="D5" s="30" t="str">
        <x:v>State what the source directly reports</x:v>
      </x:c>
      <x:c r="E5" s="30" t="str">
        <x:v>Treat source language as a different construct or later time period</x:v>
      </x:c>
      <x:c r="F5" s="30" t="str">
        <x:v>Evidence Register / Sources</x:v>
      </x:c>
    </x:row>
    <x:row r="6">
      <x:c r="A6" s="30" t="str">
        <x:v>Derived analysis</x:v>
      </x:c>
      <x:c r="B6" s="30" t="str">
        <x:v>Calculate only from visible sourced inputs; preserve formula/method</x:v>
      </x:c>
      <x:c r="C6" s="30" t="str">
        <x:v>DERIVED</x:v>
      </x:c>
      <x:c r="D6" s="30" t="str">
        <x:v>Create transparent arithmetic/proxies</x:v>
      </x:c>
      <x:c r="E6" s="30" t="str">
        <x:v>Hide a manual number or present derivation as official statistic</x:v>
      </x:c>
      <x:c r="F6" s="30" t="str">
        <x:v>Derived Calculations</x:v>
      </x:c>
    </x:row>
    <x:row r="7">
      <x:c r="A7" s="30" t="str">
        <x:v>Functional need</x:v>
      </x:c>
      <x:c r="B7" s="30" t="str">
        <x:v>Use ADL/IADL as potential assistance-need signals</x:v>
      </x:c>
      <x:c r="C7" s="30" t="str">
        <x:v>REAL DATA + interpretation</x:v>
      </x:c>
      <x:c r="D7" s="30" t="str">
        <x:v>Discuss functional limitation</x:v>
      </x:c>
      <x:c r="E7" s="30" t="str">
        <x:v>Convert directly to paid-care demand</x:v>
      </x:c>
      <x:c r="F7" s="30" t="str">
        <x:v>Evidence Register / LASI plan</x:v>
      </x:c>
    </x:row>
    <x:row r="8">
      <x:c r="A8" s="30" t="str">
        <x:v>Family context</x:v>
      </x:c>
      <x:c r="B8" s="30" t="str">
        <x:v>Use living arrangement as context/proxy</x:v>
      </x:c>
      <x:c r="C8" s="30" t="str">
        <x:v>REAL DATA / DERIVED</x:v>
      </x:c>
      <x:c r="D8" s="30" t="str">
        <x:v>Compare household contexts cautiously</x:v>
      </x:c>
      <x:c r="E8" s="30" t="str">
        <x:v>Treat alone/spouse-only as measured caregiver unavailability</x:v>
      </x:c>
      <x:c r="F8" s="30" t="str">
        <x:v>Derived Calculations</x:v>
      </x:c>
    </x:row>
    <x:row r="9">
      <x:c r="A9" s="30" t="str">
        <x:v>Workforce</x:v>
      </x:c>
      <x:c r="B9" s="30" t="str">
        <x:v>Treat training, registration, employment, availability, utilization and retention as distinct stages</x:v>
      </x:c>
      <x:c r="C9" s="30" t="str">
        <x:v>REAL DATA + DATA GAP</x:v>
      </x:c>
      <x:c r="D9" s="30" t="str">
        <x:v>Ask conversion questions</x:v>
      </x:c>
      <x:c r="E9" s="30" t="str">
        <x:v>Treat trainees/registered caregivers as active delivered capacity</x:v>
      </x:c>
      <x:c r="F9" s="30" t="str">
        <x:v>Care Capacity Model</x:v>
      </x:c>
    </x:row>
    <x:row r="10">
      <x:c r="A10" s="30" t="str">
        <x:v>Cross-source comparison</x:v>
      </x:c>
      <x:c r="B10" s="30" t="str">
        <x:v>Check period, geography, population, definition and stock/flow before inference</x:v>
      </x:c>
      <x:c r="C10" s="30" t="str">
        <x:v>METHOD</x:v>
      </x:c>
      <x:c r="D10" s="30" t="str">
        <x:v>Block, qualify or allow comparisons transparently</x:v>
      </x:c>
      <x:c r="E10" s="30" t="str">
        <x:v>Calculate ratios simply because two numbers exist</x:v>
      </x:c>
      <x:c r="F10" s="30" t="str">
        <x:v>Evidence Compatibility</x:v>
      </x:c>
    </x:row>
    <x:row r="11">
      <x:c r="A11" s="30" t="str">
        <x:v>Hypothesis generation</x:v>
      </x:c>
      <x:c r="B11" s="30" t="str">
        <x:v>Maintain competing explanations until evidence distinguishes them</x:v>
      </x:c>
      <x:c r="C11" s="30" t="str">
        <x:v>HYPOTHESIS</x:v>
      </x:c>
      <x:c r="D11" s="30" t="str">
        <x:v>Show plausible investigation paths</x:v>
      </x:c>
      <x:c r="E11" s="30" t="str">
        <x:v>Select a cause without evidence</x:v>
      </x:c>
      <x:c r="F11" s="30" t="str">
        <x:v>Hypotheses &amp; Tests</x:v>
      </x:c>
    </x:row>
    <x:row r="12">
      <x:c r="A12" s="30" t="str">
        <x:v>AI</x:v>
      </x:c>
      <x:c r="B12" s="30" t="str">
        <x:v>AI assists retrieval/synthesis/explanation; deterministic logic handles comparability/calculation; humans own judgment</x:v>
      </x:c>
      <x:c r="C12" s="30" t="str">
        <x:v>PROPOSED</x:v>
      </x:c>
      <x:c r="D12" s="30" t="str">
        <x:v>Use AI where language/exploration adds value</x:v>
      </x:c>
      <x:c r="E12" s="30" t="str">
        <x:v>Autonomous clinical/policy decisions or hidden arithmetic</x:v>
      </x:c>
      <x:c r="F12" s="30" t="str">
        <x:v>AI Responsibility Matrix</x:v>
      </x:c>
    </x:row>
    <x:row r="13">
      <x:c r="A13" s="30" t="str">
        <x:v>Validation</x:v>
      </x:c>
      <x:c r="B13" s="30" t="str">
        <x:v>Test data validity before diagnostic validity, then user interpretation and decision impact</x:v>
      </x:c>
      <x:c r="C13" s="30" t="str">
        <x:v>PROPOSED / UNVALIDATED</x:v>
      </x:c>
      <x:c r="D13" s="30" t="str">
        <x:v>Allow the product hypothesis to fail</x:v>
      </x:c>
      <x:c r="E13" s="30" t="str">
        <x:v>Use interface preference as proof of outcome</x:v>
      </x:c>
      <x:c r="F13" s="30" t="str">
        <x:v>Validation Framework</x:v>
      </x:c>
    </x:row>
    <x:row r="14">
      <x:c r="A14" s="30" t="str">
        <x:v>LASI microdata</x:v>
      </x:c>
      <x:c r="B14" s="30" t="str">
        <x:v>No microdata result is claimed until authorised data/codebook are obtained and survey design is correctly applied</x:v>
      </x:c>
      <x:c r="C14" s="30" t="str">
        <x:v>DATA GAP / PLAN</x:v>
      </x:c>
      <x:c r="D14" s="30" t="str">
        <x:v>Prepare reproducible analysis specification</x:v>
      </x:c>
      <x:c r="E14" s="30" t="str">
        <x:v>Guess variable codes/weights or publish unweighted estimates as national</x:v>
      </x:c>
      <x:c r="F14" s="30" t="str">
        <x:v>Microdata Analysis Plan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6b8c8c815bd4ffc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0" hidden="0" customWidth="1"/>
    <x:col min="4" max="4" width="26" hidden="0" customWidth="1"/>
  </x:cols>
  <x:sheetData>
    <x:row r="1" ht="30" customHeight="1">
      <x:c r="A1" s="28" t="str">
        <x:v>LASI Wave 1 Microdata Analysis Plan</x:v>
      </x:c>
      <x:c r="B1" s="28"/>
      <x:c r="C1" s="28"/>
      <x:c r="D1" s="28"/>
    </x:row>
    <x:row r="2" ht="34" customHeight="1">
      <x:c r="A2" s="29" t="str">
        <x:v>Prepared before microdata access. No LASI microdata results have been generated for this project as of 26 Sep 2026.</x:v>
      </x:c>
      <x:c r="B2" s="29"/>
      <x:c r="C2" s="29"/>
      <x:c r="D2" s="29"/>
    </x:row>
    <x:row r="3">
      <x:c r="A3" s="30"/>
      <x:c r="B3" s="30"/>
      <x:c r="C3" s="30"/>
      <x:c r="D3" s="30"/>
    </x:row>
    <x:row r="4">
      <x:c r="A4" s="30" t="str">
        <x:v>Purpose</x:v>
      </x:c>
      <x:c r="B4" s="30" t="str">
        <x:v>Test how functional care need translates into assistance received, helper type, paid status and care intensity among adults age 60+.</x:v>
      </x:c>
      <x:c r="C4" s="30"/>
      <x:c r="D4" s="30"/>
    </x:row>
    <x:row r="5">
      <x:c r="A5" s="30" t="str">
        <x:v>Core question</x:v>
      </x:c>
      <x:c r="B5" s="30" t="str">
        <x:v>Among adults age 60+ with functional limitations, how does informal/family support compare with paid/professional support, and how does this vary where sample support permits?</x:v>
      </x:c>
      <x:c r="C5" s="30"/>
      <x:c r="D5" s="30"/>
    </x:row>
    <x:row r="6">
      <x:c r="A6" s="30" t="str">
        <x:v>Boundary</x:v>
      </x:c>
      <x:c r="B6" s="30" t="str">
        <x:v>No paid-care demand, conversion rate or current-2026 estimate is claimed until authorised microdata are obtained, cleaned, weighted and analysed.</x:v>
      </x:c>
      <x:c r="C6" s="30"/>
      <x:c r="D6" s="30"/>
    </x:row>
    <x:row r="7">
      <x:c r="A7" s="30" t="str">
        <x:v>Data source</x:v>
      </x:c>
      <x:c r="B7" s="30" t="str">
        <x:v>LASI Wave 1, 2017-18. Historical survey evidence only.</x:v>
      </x:c>
      <x:c r="C7" s="30"/>
      <x:c r="D7" s="30"/>
    </x:row>
    <x:row r="8">
      <x:c r="A8" s="30" t="str">
        <x:v>Access status</x:v>
      </x:c>
      <x:c r="B8" s="30" t="str">
        <x:v>Questionnaire/documentation reviewed; exact released variables, codes, weights, PSU/strata must be verified from the current codebook.</x:v>
      </x:c>
      <x:c r="C8" s="30"/>
      <x:c r="D8" s="30"/>
    </x:row>
    <x:row r="9">
      <x:c r="A9" s="30"/>
      <x:c r="B9" s="30"/>
      <x:c r="C9" s="30"/>
      <x:c r="D9" s="30"/>
    </x:row>
    <x:row r="10">
      <x:c r="A10" s="31" t="str">
        <x:v>VARIABLE / CONCEPT</x:v>
      </x:c>
      <x:c r="B10" s="31" t="str">
        <x:v>Questionnaire reference</x:v>
      </x:c>
      <x:c r="C10" s="31" t="str">
        <x:v>Planned derivation / use</x:v>
      </x:c>
      <x:c r="D10" s="31" t="str">
        <x:v>Status</x:v>
      </x:c>
    </x:row>
    <x:row r="11">
      <x:c r="A11" s="30" t="str">
        <x:v>Age</x:v>
      </x:c>
      <x:c r="B11" s="30" t="str">
        <x:v>Demographic section</x:v>
      </x:c>
      <x:c r="C11" s="30" t="str">
        <x:v>Restrict primary analysis to age 60+</x:v>
      </x:c>
      <x:c r="D11" s="30" t="str">
        <x:v>Codebook verification required</x:v>
      </x:c>
    </x:row>
    <x:row r="12">
      <x:c r="A12" s="30" t="str">
        <x:v>ADL difficulty</x:v>
      </x:c>
      <x:c r="B12" s="30" t="str">
        <x:v>HT401–HT406 (verify released names/coding)</x:v>
      </x:c>
      <x:c r="C12" s="30" t="str">
        <x:v>Any ADL limitation</x:v>
      </x:c>
      <x:c r="D12" s="30" t="str">
        <x:v>Questionnaire mapping identified</x:v>
      </x:c>
    </x:row>
    <x:row r="13">
      <x:c r="A13" s="30" t="str">
        <x:v>IADL difficulty</x:v>
      </x:c>
      <x:c r="B13" s="30" t="str">
        <x:v>HT407–HT413 (verify released names/coding)</x:v>
      </x:c>
      <x:c r="C13" s="30" t="str">
        <x:v>Any IADL limitation</x:v>
      </x:c>
      <x:c r="D13" s="30" t="str">
        <x:v>Questionnaire mapping identified</x:v>
      </x:c>
    </x:row>
    <x:row r="14">
      <x:c r="A14" s="30" t="str">
        <x:v>Help received</x:v>
      </x:c>
      <x:c r="B14" s="30" t="str">
        <x:v>HT424</x:v>
      </x:c>
      <x:c r="C14" s="30" t="str">
        <x:v>Receives-help indicator among relevant limitation groups</x:v>
      </x:c>
      <x:c r="D14" s="30" t="str">
        <x:v>Questionnaire mapping identified</x:v>
      </x:c>
    </x:row>
    <x:row r="15">
      <x:c r="A15" s="30" t="str">
        <x:v>Number of helpers</x:v>
      </x:c>
      <x:c r="B15" s="30" t="str">
        <x:v>HT425</x:v>
      </x:c>
      <x:c r="C15" s="30" t="str">
        <x:v>Descriptive distribution</x:v>
      </x:c>
      <x:c r="D15" s="30" t="str">
        <x:v>Questionnaire mapping identified</x:v>
      </x:c>
    </x:row>
    <x:row r="16">
      <x:c r="A16" s="30" t="str">
        <x:v>Main helper / helper type</x:v>
      </x:c>
      <x:c r="B16" s="30" t="str">
        <x:v>HT426–HT427</x:v>
      </x:c>
      <x:c r="C16" s="30" t="str">
        <x:v>Family/informal vs paid/professional categories where coding permits</x:v>
      </x:c>
      <x:c r="D16" s="30" t="str">
        <x:v>Questionnaire mapping identified</x:v>
      </x:c>
    </x:row>
    <x:row r="17">
      <x:c r="A17" s="30" t="str">
        <x:v>Care frequency</x:v>
      </x:c>
      <x:c r="B17" s="30" t="str">
        <x:v>HT428</x:v>
      </x:c>
      <x:c r="C17" s="30" t="str">
        <x:v>Days helped in last month</x:v>
      </x:c>
      <x:c r="D17" s="30" t="str">
        <x:v>Questionnaire mapping identified</x:v>
      </x:c>
    </x:row>
    <x:row r="18">
      <x:c r="A18" s="30" t="str">
        <x:v>Care intensity</x:v>
      </x:c>
      <x:c r="B18" s="30" t="str">
        <x:v>HT429</x:v>
      </x:c>
      <x:c r="C18" s="30" t="str">
        <x:v>Hours/day of help</x:v>
      </x:c>
      <x:c r="D18" s="30" t="str">
        <x:v>Questionnaire mapping identified</x:v>
      </x:c>
    </x:row>
    <x:row r="19">
      <x:c r="A19" s="30" t="str">
        <x:v>Paid status</x:v>
      </x:c>
      <x:c r="B19" s="30" t="str">
        <x:v>HT430</x:v>
      </x:c>
      <x:c r="C19" s="30" t="str">
        <x:v>Paid-helper flag among those receiving help</x:v>
      </x:c>
      <x:c r="D19" s="30" t="str">
        <x:v>Questionnaire mapping identified</x:v>
      </x:c>
    </x:row>
    <x:row r="20">
      <x:c r="A20" s="30" t="str">
        <x:v>Living arrangement</x:v>
      </x:c>
      <x:c r="B20" s="30" t="str">
        <x:v>Household/living arrangement module</x:v>
      </x:c>
      <x:c r="C20" s="30" t="str">
        <x:v>Cross-tab care support by living arrangement</x:v>
      </x:c>
      <x:c r="D20" s="30" t="str">
        <x:v>Released variable/codebook required</x:v>
      </x:c>
    </x:row>
    <x:row r="21">
      <x:c r="A21" s="30" t="str">
        <x:v>Sex / age group / state</x:v>
      </x:c>
      <x:c r="B21" s="30" t="str">
        <x:v>Demographic/geographic variables</x:v>
      </x:c>
      <x:c r="C21" s="30" t="str">
        <x:v>Stratification</x:v>
      </x:c>
      <x:c r="D21" s="30" t="str">
        <x:v>Released variable/codebook required</x:v>
      </x:c>
    </x:row>
    <x:row r="22">
      <x:c r="A22" s="30" t="str">
        <x:v>Survey design</x:v>
      </x:c>
      <x:c r="B22" s="30" t="str">
        <x:v>LASI weight / PSU / strata documentation</x:v>
      </x:c>
      <x:c r="C22" s="30" t="str">
        <x:v>Apply official complex survey design</x:v>
      </x:c>
      <x:c r="D22" s="30" t="str">
        <x:v>Exact variable names required</x:v>
      </x:c>
    </x:row>
    <x:row r="23">
      <x:c r="A23" s="30"/>
      <x:c r="B23" s="30"/>
      <x:c r="C23" s="30"/>
      <x:c r="D23" s="30"/>
    </x:row>
    <x:row r="24">
      <x:c r="A24" s="31" t="str">
        <x:v>PLANNED OUTPUT</x:v>
      </x:c>
      <x:c r="B24" s="31" t="str">
        <x:v>Definition / denominator</x:v>
      </x:c>
      <x:c r="C24" s="31" t="str">
        <x:v>Interpretation</x:v>
      </x:c>
      <x:c r="D24" s="31" t="str">
        <x:v>Guardrail</x:v>
      </x:c>
    </x:row>
    <x:row r="25">
      <x:c r="A25" s="30" t="str">
        <x:v>Functional-need prevalence</x:v>
      </x:c>
      <x:c r="B25" s="30" t="str">
        <x:v>All adults 60+</x:v>
      </x:c>
      <x:c r="C25" s="30" t="str">
        <x:v>Care-need signal</x:v>
      </x:c>
      <x:c r="D25" s="30" t="str">
        <x:v>Not paid-care demand</x:v>
      </x:c>
    </x:row>
    <x:row r="26">
      <x:c r="A26" s="30" t="str">
        <x:v>Help receipt</x:v>
      </x:c>
      <x:c r="B26" s="30" t="str">
        <x:v>Adults 60+ with relevant functional limitation</x:v>
      </x:c>
      <x:c r="C26" s="30" t="str">
        <x:v>Observed assistance receipt</x:v>
      </x:c>
      <x:c r="D26" s="30" t="str">
        <x:v>State denominator explicitly</x:v>
      </x:c>
    </x:row>
    <x:row r="27">
      <x:c r="A27" s="30" t="str">
        <x:v>Paid/professional helper share</x:v>
      </x:c>
      <x:c r="B27" s="30" t="str">
        <x:v>Those with limitation who receive help</x:v>
      </x:c>
      <x:c r="C27" s="30" t="str">
        <x:v>Formal-support utilization signal</x:v>
      </x:c>
      <x:c r="D27" s="30" t="str">
        <x:v>Not market size or willingness-to-pay</x:v>
      </x:c>
    </x:row>
    <x:row r="28">
      <x:c r="A28" s="30" t="str">
        <x:v>Care intensity</x:v>
      </x:c>
      <x:c r="B28" s="30" t="str">
        <x:v>Paid-helper cases / relevant helper cases</x:v>
      </x:c>
      <x:c r="C28" s="30" t="str">
        <x:v>Service-intensity signal</x:v>
      </x:c>
      <x:c r="D28" s="30" t="str">
        <x:v>Check missing/impossible values</x:v>
      </x:c>
    </x:row>
    <x:row r="29">
      <x:c r="A29" s="30" t="str">
        <x:v>Family vs paid mix</x:v>
      </x:c>
      <x:c r="B29" s="30" t="str">
        <x:v>Those receiving help</x:v>
      </x:c>
      <x:c r="C29" s="30" t="str">
        <x:v>Care model composition</x:v>
      </x:c>
      <x:c r="D29" s="30" t="str">
        <x:v>Descriptive only</x:v>
      </x:c>
    </x:row>
    <x:row r="30">
      <x:c r="A30" s="30" t="str">
        <x:v>Living-arrangement gradient</x:v>
      </x:c>
      <x:c r="B30" s="30" t="str">
        <x:v>Adults 60+ / relevant subgroup</x:v>
      </x:c>
      <x:c r="C30" s="30" t="str">
        <x:v>Association with support patterns</x:v>
      </x:c>
      <x:c r="D30" s="30" t="str">
        <x:v>No causal claim</x:v>
      </x:c>
    </x:row>
    <x:row r="31">
      <x:c r="A31" s="30" t="str">
        <x:v>State/UT variation</x:v>
      </x:c>
      <x:c r="B31" s="30" t="str">
        <x:v>Survey-supported subgroup</x:v>
      </x:c>
      <x:c r="C31" s="30" t="str">
        <x:v>Descriptive geography</x:v>
      </x:c>
      <x:c r="D31" s="30" t="str">
        <x:v>No ranking without robust sample/design checks</x:v>
      </x:c>
    </x:row>
    <x:row r="32">
      <x:c r="A32" s="30"/>
      <x:c r="B32" s="30"/>
      <x:c r="C32" s="30"/>
      <x:c r="D32" s="30"/>
    </x:row>
    <x:row r="33">
      <x:c r="A33" s="31" t="str">
        <x:v>QUALITY / REPRODUCIBILITY CHECK</x:v>
      </x:c>
      <x:c r="B33" s="31" t="str">
        <x:v>Requirement</x:v>
      </x:c>
      <x:c r="C33" s="31" t="str">
        <x:v>Why</x:v>
      </x:c>
      <x:c r="D33" s="31" t="str">
        <x:v>Status</x:v>
      </x:c>
    </x:row>
    <x:row r="34">
      <x:c r="A34" s="30" t="str">
        <x:v>Survey weights</x:v>
      </x:c>
      <x:c r="B34" s="30" t="str">
        <x:v>Use official LASI weight, PSU and strata exactly as documented</x:v>
      </x:c>
      <x:c r="C34" s="30" t="str">
        <x:v>National estimates require survey design</x:v>
      </x:c>
      <x:c r="D34" s="30" t="str">
        <x:v>NOT YET POSSIBLE</x:v>
      </x:c>
    </x:row>
    <x:row r="35">
      <x:c r="A35" s="30" t="str">
        <x:v>Missingness</x:v>
      </x:c>
      <x:c r="B35" s="30" t="str">
        <x:v>Report non-response; do not code missing as no care</x:v>
      </x:c>
      <x:c r="C35" s="30" t="str">
        <x:v>Prevents biased denominators</x:v>
      </x:c>
      <x:c r="D35" s="30" t="str">
        <x:v>PLANNED</x:v>
      </x:c>
    </x:row>
    <x:row r="36">
      <x:c r="A36" s="30" t="str">
        <x:v>Denominators</x:v>
      </x:c>
      <x:c r="B36" s="30" t="str">
        <x:v>Every percentage states denominator</x:v>
      </x:c>
      <x:c r="C36" s="30" t="str">
        <x:v>Prevents misleading conversion claims</x:v>
      </x:c>
      <x:c r="D36" s="30" t="str">
        <x:v>PLANNED</x:v>
      </x:c>
    </x:row>
    <x:row r="37">
      <x:c r="A37" s="30" t="str">
        <x:v>Benchmarking</x:v>
      </x:c>
      <x:c r="B37" s="30" t="str">
        <x:v>Compare key outputs with published LASI tables</x:v>
      </x:c>
      <x:c r="C37" s="30" t="str">
        <x:v>Quality check</x:v>
      </x:c>
      <x:c r="D37" s="30" t="str">
        <x:v>PLANNED</x:v>
      </x:c>
    </x:row>
    <x:row r="38">
      <x:c r="A38" s="30" t="str">
        <x:v>Code/data retention</x:v>
      </x:c>
      <x:c r="B38" s="30" t="str">
        <x:v>Retain data dictionary, script, output and software versions</x:v>
      </x:c>
      <x:c r="C38" s="30" t="str">
        <x:v>Auditability</x:v>
      </x:c>
      <x:c r="D38" s="30" t="str">
        <x:v>PLANNED</x:v>
      </x:c>
    </x:row>
    <x:row r="39">
      <x:c r="A39" s="30" t="str">
        <x:v>Causal restraint</x:v>
      </x:c>
      <x:c r="B39" s="30" t="str">
        <x:v>No causal modelling merely to make the portfolio look sophisticated</x:v>
      </x:c>
      <x:c r="C39" s="30" t="str">
        <x:v>Research integrity</x:v>
      </x:c>
      <x:c r="D39" s="30" t="str">
        <x:v>LOCKED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25" hidden="0" customWidth="1"/>
    <x:col min="4" max="4" width="38" hidden="0" customWidth="1"/>
    <x:col min="5" max="5" width="38" hidden="0" customWidth="1"/>
    <x:col min="6" max="6" width="42" hidden="0" customWidth="1"/>
    <x:col min="7" max="7" width="30" hidden="0" customWidth="1"/>
  </x:cols>
  <x:sheetData>
    <x:row r="1" ht="30" customHeight="1">
      <x:c r="A1" s="28" t="str">
        <x:v>Claim / Decision → Evidence → Artifact → Portfolio Map</x:v>
      </x:c>
      <x:c r="B1" s="28"/>
      <x:c r="C1" s="28"/>
      <x:c r="D1" s="28"/>
      <x:c r="E1" s="28"/>
      <x:c r="F1" s="28"/>
      <x:c r="G1" s="28"/>
    </x:row>
    <x:row r="2" ht="34" customHeight="1">
      <x:c r="A2" s="29" t="str">
        <x:v>Maps the 10-section narrative to the proof behind it. This is the control layer for the public portfolio.</x:v>
      </x:c>
      <x:c r="B2" s="29"/>
      <x:c r="C2" s="29"/>
      <x:c r="D2" s="29"/>
      <x:c r="E2" s="29"/>
      <x:c r="F2" s="29"/>
      <x:c r="G2" s="29"/>
    </x:row>
    <x:row r="3">
      <x:c r="A3" s="30"/>
      <x:c r="B3" s="30"/>
      <x:c r="C3" s="30"/>
      <x:c r="D3" s="30"/>
      <x:c r="E3" s="30"/>
      <x:c r="F3" s="30"/>
      <x:c r="G3" s="30"/>
    </x:row>
    <x:row r="4">
      <x:c r="A4" s="31" t="str">
        <x:v>Narrative section</x:v>
      </x:c>
      <x:c r="B4" s="31" t="str">
        <x:v>Claim / decision</x:v>
      </x:c>
      <x:c r="C4" s="31" t="str">
        <x:v>Evidence class</x:v>
      </x:c>
      <x:c r="D4" s="31" t="str">
        <x:v>Primary evidence / method</x:v>
      </x:c>
      <x:c r="E4" s="31" t="str">
        <x:v>Proof artifact</x:v>
      </x:c>
      <x:c r="F4" s="31" t="str">
        <x:v>Portfolio treatment</x:v>
      </x:c>
      <x:c r="G4" s="31" t="str">
        <x:v>Proof status</x:v>
      </x:c>
    </x:row>
    <x:row r="5">
      <x:c r="A5" s="30" t="str">
        <x:v>01 — The Question</x:v>
      </x:c>
      <x:c r="B5" s="30" t="str">
        <x:v>Project begins from observed gap between clinical encounter and broader care journey</x:v>
      </x:c>
      <x:c r="C5" s="30" t="str">
        <x:v>PERSONAL OBSERVATION</x:v>
      </x:c>
      <x:c r="D5" s="30" t="str">
        <x:v>Author experience; not quantified</x:v>
      </x:c>
      <x:c r="E5" s="30" t="str">
        <x:v>Case-study narrative</x:v>
      </x:c>
      <x:c r="F5" s="30" t="str">
        <x:v>Keep human; no forced quantitative proof</x:v>
      </x:c>
      <x:c r="G5" s="30" t="str">
        <x:v>SUFFICIENT</x:v>
      </x:c>
    </x:row>
    <x:row r="6">
      <x:c r="A6" s="30" t="str">
        <x:v>02 — Evidence</x:v>
      </x:c>
      <x:c r="B6" s="30" t="str">
        <x:v>ADL/IADL indicate potential assistance need, not paid-care demand</x:v>
      </x:c>
      <x:c r="C6" s="30" t="str">
        <x:v>REAL DATA + INTERPRETATION</x:v>
      </x:c>
      <x:c r="D6" s="30" t="str">
        <x:v>S002; E005-E006</x:v>
      </x:c>
      <x:c r="E6" s="30" t="str">
        <x:v>Evidence Register + LASI brief</x:v>
      </x:c>
      <x:c r="F6" s="30" t="str">
        <x:v>Visible citation + artifact preview</x:v>
      </x:c>
      <x:c r="G6" s="30" t="str">
        <x:v>STRONG</x:v>
      </x:c>
    </x:row>
    <x:row r="7">
      <x:c r="A7" s="30" t="str">
        <x:v>02 — Evidence</x:v>
      </x:c>
      <x:c r="B7" s="30" t="str">
        <x:v>Living arrangement is care context, not direct family capacity</x:v>
      </x:c>
      <x:c r="C7" s="30" t="str">
        <x:v>REAL DATA + DERIVED</x:v>
      </x:c>
      <x:c r="D7" s="30" t="str">
        <x:v>S002; E007-E008; E014-E018</x:v>
      </x:c>
      <x:c r="E7" s="30" t="str">
        <x:v>Derived Calculations + Evidence Register</x:v>
      </x:c>
      <x:c r="F7" s="30" t="str">
        <x:v>Show example and limitation</x:v>
      </x:c>
      <x:c r="G7" s="30" t="str">
        <x:v>STRONG</x:v>
      </x:c>
    </x:row>
    <x:row r="8">
      <x:c r="A8" s="30" t="str">
        <x:v>02 — Evidence</x:v>
      </x:c>
      <x:c r="B8" s="30" t="str">
        <x:v>PM-SPECIAL training is pipeline activity, not active workforce</x:v>
      </x:c>
      <x:c r="C8" s="30" t="str">
        <x:v>REAL DATA + INTERPRETATION</x:v>
      </x:c>
      <x:c r="D8" s="30" t="str">
        <x:v>S004; E009; E020-E021</x:v>
      </x:c>
      <x:c r="E8" s="30" t="str">
        <x:v>Evidence Register + Care Capacity Model</x:v>
      </x:c>
      <x:c r="F8" s="30" t="str">
        <x:v>Visible source + downstream data gaps</x:v>
      </x:c>
      <x:c r="G8" s="30" t="str">
        <x:v>STRONG</x:v>
      </x:c>
    </x:row>
    <x:row r="9">
      <x:c r="A9" s="30" t="str">
        <x:v>03 — Insight</x:v>
      </x:c>
      <x:c r="B9" s="30" t="str">
        <x:v>Care capacity is a conversion problem</x:v>
      </x:c>
      <x:c r="C9" s="30" t="str">
        <x:v>ORIGINAL FRAMEWORK</x:v>
      </x:c>
      <x:c r="D9" s="30" t="str">
        <x:v>Synthesis of evidence boundaries</x:v>
      </x:c>
      <x:c r="E9" s="30" t="str">
        <x:v>Care Capacity Model + Decision Log</x:v>
      </x:c>
      <x:c r="F9" s="30" t="str">
        <x:v>Central framework visual</x:v>
      </x:c>
      <x:c r="G9" s="30" t="str">
        <x:v>STRONG</x:v>
      </x:c>
    </x:row>
    <x:row r="10">
      <x:c r="A10" s="30" t="str">
        <x:v>04 — Diagnostic hypotheses</x:v>
      </x:c>
      <x:c r="B10" s="30" t="str">
        <x:v>Multiple mechanisms can produce the same apparent capacity problem</x:v>
      </x:c>
      <x:c r="C10" s="30" t="str">
        <x:v>HYPOTHESIS FRAMEWORK</x:v>
      </x:c>
      <x:c r="D10" s="30" t="str">
        <x:v>Care Capacity Model + evidence gaps</x:v>
      </x:c>
      <x:c r="E10" s="30" t="str">
        <x:v>Hypotheses &amp; Tests + Diagnostic Rules</x:v>
      </x:c>
      <x:c r="F10" s="30" t="str">
        <x:v>Show as competing hypotheses</x:v>
      </x:c>
      <x:c r="G10" s="30" t="str">
        <x:v>STRONG</x:v>
      </x:c>
    </x:row>
    <x:row r="11">
      <x:c r="A11" s="30" t="str">
        <x:v>05 — Product</x:v>
      </x:c>
      <x:c r="B11" s="30" t="str">
        <x:v>KAALJI should be decision support, not another caregiver marketplace</x:v>
      </x:c>
      <x:c r="C11" s="30" t="str">
        <x:v>PRODUCT DECISION</x:v>
      </x:c>
      <x:c r="D11" s="30" t="str">
        <x:v>S008 + S013 + S014 + D04</x:v>
      </x:c>
      <x:c r="E11" s="30" t="str">
        <x:v>Product Landscape + Product Requirements</x:v>
      </x:c>
      <x:c r="F11" s="30" t="str">
        <x:v>Show landscape then product whitespace</x:v>
      </x:c>
      <x:c r="G11" s="30" t="str">
        <x:v>STRONG / USER NEED UNVALIDATED</x:v>
      </x:c>
    </x:row>
    <x:row r="12">
      <x:c r="A12" s="30" t="str">
        <x:v>06 — Workflow</x:v>
      </x:c>
      <x:c r="B12" s="30" t="str">
        <x:v>Compatibility must precede cross-dataset inference</x:v>
      </x:c>
      <x:c r="C12" s="30" t="str">
        <x:v>METHOD + PRODUCT DECISION</x:v>
      </x:c>
      <x:c r="D12" s="30" t="str">
        <x:v>D05 + compatibility rules</x:v>
      </x:c>
      <x:c r="E12" s="30" t="str">
        <x:v>Evidence Compatibility + Diagnostic Rules</x:v>
      </x:c>
      <x:c r="F12" s="30" t="str">
        <x:v>Make gate visible in prototype</x:v>
      </x:c>
      <x:c r="G12" s="30" t="str">
        <x:v>STRONG ARTIFACT / PROTOTYPE UPDATE NEEDED</x:v>
      </x:c>
    </x:row>
    <x:row r="13">
      <x:c r="A13" s="30" t="str">
        <x:v>07 — AI</x:v>
      </x:c>
      <x:c r="B13" s="30" t="str">
        <x:v>AI is for language/synthesis/exploration, not truth/arithmetic/final judgment</x:v>
      </x:c>
      <x:c r="C13" s="30" t="str">
        <x:v>AI PRODUCT DECISION</x:v>
      </x:c>
      <x:c r="D13" s="30" t="str">
        <x:v>ICMR/WHO governance + project method</x:v>
      </x:c>
      <x:c r="E13" s="30" t="str">
        <x:v>AI Responsibility Matrix</x:v>
      </x:c>
      <x:c r="F13" s="30" t="str">
        <x:v>Architecture proof</x:v>
      </x:c>
      <x:c r="G13" s="30" t="str">
        <x:v>STRONG</x:v>
      </x:c>
    </x:row>
    <x:row r="14">
      <x:c r="A14" s="30" t="str">
        <x:v>08 — Validation</x:v>
      </x:c>
      <x:c r="B14" s="30" t="str">
        <x:v>Product must pass data, diagnostic, user and decision tests and be allowed to fail</x:v>
      </x:c>
      <x:c r="C14" s="30" t="str">
        <x:v>VALIDATION DESIGN</x:v>
      </x:c>
      <x:c r="D14" s="30" t="str">
        <x:v>Project validation logic</x:v>
      </x:c>
      <x:c r="E14" s="30" t="str">
        <x:v>Validation Framework</x:v>
      </x:c>
      <x:c r="F14" s="30" t="str">
        <x:v>Show explicit unvalidated status</x:v>
      </x:c>
      <x:c r="G14" s="30" t="str">
        <x:v>STRONG / NOT RUN</x:v>
      </x:c>
    </x:row>
    <x:row r="15">
      <x:c r="A15" s="30" t="str">
        <x:v>09 — What I Built</x:v>
      </x:c>
      <x:c r="B15" s="30" t="str">
        <x:v>The project has a traceable work chain beyond the case-study prose</x:v>
      </x:c>
      <x:c r="C15" s="30" t="str">
        <x:v>REAL PROJECT STATE</x:v>
      </x:c>
      <x:c r="D15" s="30" t="str">
        <x:v>All artifacts</x:v>
      </x:c>
      <x:c r="E15" s="30" t="str">
        <x:v>MASTER v2 + prototype + LASI plan + proof package</x:v>
      </x:c>
      <x:c r="F15" s="30" t="str">
        <x:v>Curated previews / GitHub</x:v>
      </x:c>
      <x:c r="G15" s="30" t="str">
        <x:v>STRONG</x:v>
      </x:c>
    </x:row>
    <x:row r="16">
      <x:c r="A16" t="str">
        <x:v>10 — Changed My Mind</x:v>
      </x:c>
      <x:c r="B16" t="str">
        <x:v>Evidence changed the framing, comparisons, product and AI choices</x:v>
      </x:c>
      <x:c r="C16" t="str">
        <x:v>PROCESS / REFLECTION</x:v>
      </x:c>
      <x:c r="D16" t="str">
        <x:v>Version history + decisions</x:v>
      </x:c>
      <x:c r="E16" t="str">
        <x:v>Decision Log + Version Evolution</x:v>
      </x:c>
      <x:c r="F16" t="str">
        <x:v>Selected before→evidence→change examples</x:v>
      </x:c>
      <x:c r="G16" t="str">
        <x:v>STRONG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3e5c98cb23444aa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50" hidden="0" customWidth="1"/>
    <x:col min="4" max="4" width="38" hidden="0" customWidth="1"/>
    <x:col min="5" max="5" width="24" hidden="0" customWidth="1"/>
  </x:cols>
  <x:sheetData>
    <x:row r="1" ht="30" customHeight="1">
      <x:c r="A1" s="28" t="str">
        <x:v>Project Version Evolution</x:v>
      </x:c>
      <x:c r="B1" s="28"/>
      <x:c r="C1" s="28"/>
      <x:c r="D1" s="28"/>
      <x:c r="E1" s="28"/>
    </x:row>
    <x:row r="2" ht="34" customHeight="1">
      <x:c r="A2" s="29" t="str">
        <x:v>Private process history showing how the research question and analytical model evolved. Earlier files are not current evidence outputs.</x:v>
      </x:c>
      <x:c r="B2" s="29"/>
      <x:c r="C2" s="29"/>
      <x:c r="D2" s="29"/>
      <x:c r="E2" s="29"/>
    </x:row>
    <x:row r="3">
      <x:c r="A3" s="30"/>
      <x:c r="B3" s="30"/>
      <x:c r="C3" s="30"/>
      <x:c r="D3" s="30"/>
      <x:c r="E3" s="30"/>
    </x:row>
    <x:row r="4">
      <x:c r="A4" s="31" t="str">
        <x:v>Version / artifact</x:v>
      </x:c>
      <x:c r="B4" s="31" t="str">
        <x:v>Main analytical move</x:v>
      </x:c>
      <x:c r="C4" s="31" t="str">
        <x:v>What changed next</x:v>
      </x:c>
      <x:c r="D4" s="31" t="str">
        <x:v>Portfolio use</x:v>
      </x:c>
      <x:c r="E4" s="31" t="str">
        <x:v>Public status</x:v>
      </x:c>
    </x:row>
    <x:row r="5">
      <x:c r="A5" s="30" t="str">
        <x:v>v0.1 Evidence Register</x:v>
      </x:c>
      <x:c r="B5" s="30" t="str">
        <x:v>Broad care-economy evidence collection and opportunity territories</x:v>
      </x:c>
      <x:c r="C5" s="30" t="str">
        <x:v>Needed stronger separation of need, family context and workforce</x:v>
      </x:c>
      <x:c r="D5" s="30" t="str">
        <x:v>Shows evidence-first start</x:v>
      </x:c>
      <x:c r="E5" s="30" t="str">
        <x:v>PRIVATE ARCHIVE</x:v>
      </x:c>
    </x:row>
    <x:row r="6">
      <x:c r="A6" s="30" t="str">
        <x:v>v0.2 Opportunity Intelligence</x:v>
      </x:c>
      <x:c r="B6" s="30" t="str">
        <x:v>Explored multiple strategic opportunity territories</x:v>
      </x:c>
      <x:c r="C6" s="30" t="str">
        <x:v>Subjective scoring was not enough; moved to harder evidence</x:v>
      </x:c>
      <x:c r="D6" s="30" t="str">
        <x:v>Shows alternatives were considered</x:v>
      </x:c>
      <x:c r="E6" s="30" t="str">
        <x:v>PRIVATE ARCHIVE</x:v>
      </x:c>
    </x:row>
    <x:row r="7">
      <x:c r="A7" s="30" t="str">
        <x:v>v0.3 Training Distribution</x:v>
      </x:c>
      <x:c r="B7" s="30" t="str">
        <x:v>Added official PM-SPECIAL state training distribution and concentration calculation</x:v>
      </x:c>
      <x:c r="C7" s="30" t="str">
        <x:v>Recognised training geography is not demand geography</x:v>
      </x:c>
      <x:c r="D7" s="30" t="str">
        <x:v>Calculation provenance</x:v>
      </x:c>
      <x:c r="E7" s="30" t="str">
        <x:v>SUPPORTING / PRIVATE</x:v>
      </x:c>
    </x:row>
    <x:row r="8">
      <x:c r="A8" s="30" t="str">
        <x:v>v0.4 Supply-Need Alignment</x:v>
      </x:c>
      <x:c r="B8" s="30" t="str">
        <x:v>Attempted state supply/need comparison</x:v>
      </x:c>
      <x:c r="C8" s="30" t="str">
        <x:v>Construct/time mismatch made ranking unsafe</x:v>
      </x:c>
      <x:c r="D8" s="30" t="str">
        <x:v>Shows why state ranking was abandoned</x:v>
      </x:c>
      <x:c r="E8" s="30" t="str">
        <x:v>PRIVATE ARCHIVE</x:v>
      </x:c>
    </x:row>
    <x:row r="9">
      <x:c r="A9" s="30" t="str">
        <x:v>v0.5 Functional Need Deep Dive</x:v>
      </x:c>
      <x:c r="B9" s="30" t="str">
        <x:v>Added state ADL/IADL screens</x:v>
      </x:c>
      <x:c r="C9" s="30" t="str">
        <x:v>Simple combined 'burden' indicators were not validated</x:v>
      </x:c>
      <x:c r="D9" s="30" t="str">
        <x:v>Method-learning evidence</x:v>
      </x:c>
      <x:c r="E9" s="30" t="str">
        <x:v>PRIVATE ARCHIVE</x:v>
      </x:c>
    </x:row>
    <x:row r="10">
      <x:c r="A10" s="30" t="str">
        <x:v>v0.6 Demand Translation</x:v>
      </x:c>
      <x:c r="B10" s="30" t="str">
        <x:v>Explicitly separated functional need/helper reliance from paid-care demand</x:v>
      </x:c>
      <x:c r="C10" s="30" t="str">
        <x:v>Moved toward care-support pathways</x:v>
      </x:c>
      <x:c r="D10" s="30" t="str">
        <x:v>Shows reframing</x:v>
      </x:c>
      <x:c r="E10" s="30" t="str">
        <x:v>PRIVATE ARCHIVE</x:v>
      </x:c>
    </x:row>
    <x:row r="11">
      <x:c r="A11" s="30" t="str">
        <x:v>v0.7 Care Capacity Transition</x:v>
      </x:c>
      <x:c r="B11" s="30" t="str">
        <x:v>Combined household context, need and training</x:v>
      </x:c>
      <x:c r="C11" s="30" t="str">
        <x:v>Still risked over-reading state signals</x:v>
      </x:c>
      <x:c r="D11" s="30" t="str">
        <x:v>Precursor framework</x:v>
      </x:c>
      <x:c r="E11" s="30" t="str">
        <x:v>PRIVATE ARCHIVE</x:v>
      </x:c>
    </x:row>
    <x:row r="12">
      <x:c r="A12" s="30" t="str">
        <x:v>v0.8 Evidence Synthesis</x:v>
      </x:c>
      <x:c r="B12" s="30" t="str">
        <x:v>Reorganised work around evidence chain and evidence gaps</x:v>
      </x:c>
      <x:c r="C12" s="30" t="str">
        <x:v>Shifted focus from ranking to conversion/measurement</x:v>
      </x:c>
      <x:c r="D12" s="30" t="str">
        <x:v>Strong process evidence</x:v>
      </x:c>
      <x:c r="E12" s="30" t="str">
        <x:v>SUPPORTING / PRIVATE</x:v>
      </x:c>
    </x:row>
    <x:row r="13">
      <x:c r="A13" s="30" t="str">
        <x:v>v0.9 Workforce Conversion</x:v>
      </x:c>
      <x:c r="B13" s="30" t="str">
        <x:v>Trained→Registered→Employed→Available→Utilized→Retained became explicit</x:v>
      </x:c>
      <x:c r="C13" s="30" t="str">
        <x:v>Needed product/decision layer and stronger comparability rules</x:v>
      </x:c>
      <x:c r="D13" s="30" t="str">
        <x:v>Strong analytical precursor</x:v>
      </x:c>
      <x:c r="E13" s="30" t="str">
        <x:v>SUPPORTING</x:v>
      </x:c>
    </x:row>
    <x:row r="14">
      <x:c r="A14" s="30" t="str">
        <x:v>v1 Final Workbook</x:v>
      </x:c>
      <x:c r="B14" s="30" t="str">
        <x:v>Consolidated evidence, model, tests, decision log and product rules</x:v>
      </x:c>
      <x:c r="C14" s="30" t="str">
        <x:v>10-section narrative introduced compatibility gate, evidence strength, AI boundary and validation logic</x:v>
      </x:c>
      <x:c r="D14" s="30" t="str">
        <x:v>Previous master</x:v>
      </x:c>
      <x:c r="E14" s="30" t="str">
        <x:v>SUPERSEDED BY v2</x:v>
      </x:c>
    </x:row>
    <x:row r="15">
      <x:c r="A15" s="30" t="str">
        <x:v>v2 Master Workbook</x:v>
      </x:c>
      <x:c r="B15" s="30" t="str">
        <x:v>Single source of truth aligned to final 10-section narrative and artifact audit</x:v>
      </x:c>
      <x:c r="C15" s="30" t="str">
        <x:v>Next downstream updates: KAALJI prototype, recruiter brief, README/proof package</x:v>
      </x:c>
      <x:c r="D15" s="30" t="str">
        <x:v>Authoritative backbone</x:v>
      </x:c>
      <x:c r="E15" s="30" t="str">
        <x:v>CURRENT MASTER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fac07050c7b413d"/>
  </x:tableParts>
</x:worksheet>
</file>